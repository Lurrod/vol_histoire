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ynthèse" sheetId="1" state="visible" r:id="rId1"/>
    <sheet name="Findings" sheetId="2" state="visible" r:id="rId2"/>
    <sheet name="Architecture &amp; structure" sheetId="3" state="visible" r:id="rId3"/>
    <sheet name="HTML &amp; sémantique" sheetId="4" state="visible" r:id="rId4"/>
    <sheet name="CSS &amp; design system" sheetId="5" state="visible" r:id="rId5"/>
    <sheet name="JavaScript" sheetId="6" state="visible" r:id="rId6"/>
    <sheet name="Performance" sheetId="7" state="visible" r:id="rId7"/>
    <sheet name="Accessibilité" sheetId="8" state="visible" r:id="rId8"/>
    <sheet name="Sécurité" sheetId="9" state="visible" r:id="rId9"/>
    <sheet name="SEO technique" sheetId="10" state="visible" r:id="rId10"/>
    <sheet name="Conformité RGPD" sheetId="11" state="visible" r:id="rId11"/>
    <sheet name="Qualité du code" sheetId="12" state="visible" r:id="rId12"/>
    <sheet name="Mobile &amp; PWA" sheetId="13" state="visible" r:id="rId13"/>
    <sheet name="Contenu &amp; éditorial" sheetId="14" state="visible" r:id="rId14"/>
    <sheet name="Reste à faire" sheetId="15" state="visible" r:id="rId15"/>
    <sheet name="Points conformes" sheetId="16" state="visible" r:id="rId16"/>
    <sheet name="Non testé" sheetId="17" state="visible" r:id="rId17"/>
  </sheets>
  <definedNames>
    <definedName name="_xlnm._FilterDatabase" localSheetId="1" hidden="1">'Findings'!$A$4:$N$57</definedName>
    <definedName name="_xlnm._FilterDatabase" localSheetId="2" hidden="1">'Architecture &amp; structure'!$A$4:$N$7</definedName>
    <definedName name="_xlnm._FilterDatabase" localSheetId="3" hidden="1">'HTML &amp; sémantique'!$A$4:$N$5</definedName>
    <definedName name="_xlnm._FilterDatabase" localSheetId="4" hidden="1">'CSS &amp; design system'!$A$4:$N$9</definedName>
    <definedName name="_xlnm._FilterDatabase" localSheetId="5" hidden="1">'JavaScript'!$A$4:$N$7</definedName>
    <definedName name="_xlnm._FilterDatabase" localSheetId="6" hidden="1">'Performance'!$A$4:$N$12</definedName>
    <definedName name="_xlnm._FilterDatabase" localSheetId="7" hidden="1">'Accessibilité'!$A$4:$N$18</definedName>
    <definedName name="_xlnm._FilterDatabase" localSheetId="8" hidden="1">'Sécurité'!$A$4:$N$10</definedName>
    <definedName name="_xlnm._FilterDatabase" localSheetId="9" hidden="1">'SEO technique'!$A$4:$N$7</definedName>
    <definedName name="_xlnm._FilterDatabase" localSheetId="10" hidden="1">'Conformité RGPD'!$A$4:$N$9</definedName>
    <definedName name="_xlnm._FilterDatabase" localSheetId="11" hidden="1">'Qualité du code'!$A$4:$N$6</definedName>
    <definedName name="_xlnm._FilterDatabase" localSheetId="12" hidden="1">'Mobile &amp; PWA'!$A$4:$N$5</definedName>
    <definedName name="_xlnm._FilterDatabase" localSheetId="13" hidden="1">'Contenu &amp; éditorial'!$A$4:$N$6</definedName>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b val="1"/>
      <color rgb="001A1A1A"/>
      <sz val="16"/>
    </font>
    <font>
      <i val="1"/>
      <color rgb="00606060"/>
      <sz val="10"/>
    </font>
    <font>
      <b val="1"/>
      <color rgb="001A1A1A"/>
      <sz val="11"/>
    </font>
    <font>
      <b val="1"/>
      <color rgb="00C8A96E"/>
      <sz val="20"/>
    </font>
    <font>
      <i val="1"/>
      <color rgb="00505050"/>
      <sz val="9"/>
    </font>
    <font>
      <b val="1"/>
      <sz val="11"/>
    </font>
    <font>
      <b val="1"/>
      <color rgb="00C8A96E"/>
      <sz val="10"/>
    </font>
    <font>
      <b val="1"/>
      <color rgb="001B5E20"/>
      <sz val="10"/>
    </font>
    <font>
      <b val="1"/>
      <sz val="10"/>
    </font>
    <font>
      <b val="1"/>
      <color rgb="008A4B00"/>
      <sz val="10"/>
    </font>
    <font>
      <color rgb="00616161"/>
      <sz val="10"/>
    </font>
    <font>
      <sz val="10"/>
    </font>
    <font>
      <color rgb="001B5E20"/>
      <sz val="10"/>
    </font>
    <font>
      <b val="1"/>
      <color rgb="00FFFFFF"/>
      <sz val="10"/>
    </font>
    <font>
      <color rgb="001A1A1A"/>
      <sz val="10"/>
    </font>
    <font>
      <color rgb="00595959"/>
      <sz val="10"/>
    </font>
  </fonts>
  <fills count="14">
    <fill>
      <patternFill/>
    </fill>
    <fill>
      <patternFill patternType="gray125"/>
    </fill>
    <fill>
      <patternFill patternType="solid">
        <fgColor rgb="001A1A1A"/>
      </patternFill>
    </fill>
    <fill>
      <patternFill patternType="solid">
        <fgColor rgb="00C8E6C9"/>
      </patternFill>
    </fill>
    <fill>
      <patternFill patternType="solid">
        <fgColor rgb="00FDE7C8"/>
      </patternFill>
    </fill>
    <fill>
      <patternFill patternType="solid">
        <fgColor rgb="00E0E0E0"/>
      </patternFill>
    </fill>
    <fill>
      <patternFill patternType="solid">
        <fgColor rgb="00D6EBD6"/>
      </patternFill>
    </fill>
    <fill>
      <patternFill patternType="solid">
        <fgColor rgb="00FDF2D0"/>
      </patternFill>
    </fill>
    <fill>
      <patternFill patternType="solid">
        <fgColor rgb="00F7D5D0"/>
      </patternFill>
    </fill>
    <fill>
      <patternFill patternType="solid">
        <fgColor rgb="00F2F2F2"/>
      </patternFill>
    </fill>
    <fill>
      <patternFill patternType="solid">
        <fgColor rgb="00E08B3C"/>
      </patternFill>
    </fill>
    <fill>
      <patternFill patternType="solid">
        <fgColor rgb="00E8D6A8"/>
      </patternFill>
    </fill>
    <fill>
      <patternFill patternType="solid">
        <fgColor rgb="00D9D9D9"/>
      </patternFill>
    </fill>
    <fill>
      <patternFill patternType="solid">
        <fgColor rgb="00C0392B"/>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horizontal="left" vertical="center" wrapText="1"/>
    </xf>
    <xf numFmtId="0" fontId="8" fillId="3" borderId="0" pivotButton="0" quotePrefix="0" xfId="0"/>
    <xf numFmtId="0" fontId="9" fillId="0" borderId="0" pivotButton="0" quotePrefix="0" xfId="0"/>
    <xf numFmtId="0" fontId="10" fillId="4" borderId="0" pivotButton="0" quotePrefix="0" xfId="0"/>
    <xf numFmtId="0" fontId="11" fillId="5" borderId="0" pivotButton="0" quotePrefix="0" xfId="0"/>
    <xf numFmtId="0" fontId="12" fillId="0" borderId="0" pivotButton="0" quotePrefix="0" xfId="0"/>
    <xf numFmtId="0" fontId="9" fillId="6" borderId="0" pivotButton="0" quotePrefix="0" xfId="0"/>
    <xf numFmtId="0" fontId="9" fillId="7" borderId="0" pivotButton="0" quotePrefix="0" xfId="0"/>
    <xf numFmtId="0" fontId="9" fillId="8" borderId="0" pivotButton="0" quotePrefix="0" xfId="0"/>
    <xf numFmtId="0" fontId="13" fillId="6" borderId="0" pivotButton="0" quotePrefix="0" xfId="0"/>
    <xf numFmtId="0" fontId="11" fillId="9" borderId="0" pivotButton="0" quotePrefix="0" xfId="0"/>
    <xf numFmtId="0" fontId="9" fillId="0" borderId="1" applyAlignment="1" pivotButton="0" quotePrefix="0" xfId="0">
      <alignment vertical="top"/>
    </xf>
    <xf numFmtId="0" fontId="12" fillId="0" borderId="1" applyAlignment="1" pivotButton="0" quotePrefix="0" xfId="0">
      <alignment vertical="top"/>
    </xf>
    <xf numFmtId="0" fontId="12" fillId="0" borderId="1" applyAlignment="1" pivotButton="0" quotePrefix="0" xfId="0">
      <alignment vertical="top" wrapText="1"/>
    </xf>
    <xf numFmtId="0" fontId="14" fillId="10" borderId="1" applyAlignment="1" pivotButton="0" quotePrefix="0" xfId="0">
      <alignment horizontal="center" vertical="center"/>
    </xf>
    <xf numFmtId="0" fontId="10" fillId="4" borderId="1" applyAlignment="1" pivotButton="0" quotePrefix="0" xfId="0">
      <alignment horizontal="center" vertical="center"/>
    </xf>
    <xf numFmtId="0" fontId="15" fillId="11" borderId="1" applyAlignment="1" pivotButton="0" quotePrefix="0" xfId="0">
      <alignment horizontal="center" vertical="center"/>
    </xf>
    <xf numFmtId="0" fontId="16" fillId="12" borderId="1" applyAlignment="1" pivotButton="0" quotePrefix="0" xfId="0">
      <alignment horizontal="center" vertical="center"/>
    </xf>
    <xf numFmtId="0" fontId="14" fillId="13" borderId="1" applyAlignment="1" pivotButton="0" quotePrefix="0" xfId="0">
      <alignment horizontal="center" vertical="center"/>
    </xf>
    <xf numFmtId="0" fontId="8" fillId="3" borderId="1" applyAlignment="1" pivotButton="0" quotePrefix="0" xfId="0">
      <alignment horizontal="center" vertical="center"/>
    </xf>
    <xf numFmtId="0" fontId="11" fillId="5" borderId="1" applyAlignment="1" pivotButton="0" quotePrefix="0" xfId="0">
      <alignment horizontal="center" vertical="center"/>
    </xf>
    <xf numFmtId="0" fontId="1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p>
            <a:pPr>
              <a:defRPr/>
            </a:pPr>
            <a:r>
              <a:t>Constats par statut</a:t>
            </a:r>
          </a:p>
        </rich>
      </tx>
    </title>
    <plotArea>
      <pieChart>
        <varyColors val="1"/>
        <ser>
          <idx val="0"/>
          <order val="0"/>
          <tx>
            <strRef>
              <f>'Synthèse'!B8</f>
            </strRef>
          </tx>
          <spPr>
            <a:ln>
              <a:prstDash val="solid"/>
            </a:ln>
          </spPr>
          <cat>
            <numRef>
              <f>'Synthèse'!$A$9:$A$11</f>
            </numRef>
          </cat>
          <val>
            <numRef>
              <f>'Synthèse'!$B$9:$B$11</f>
            </numRef>
          </val>
        </ser>
        <firstSliceAng val="0"/>
      </pieChart>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Score par domaine — avant / après</a:t>
            </a:r>
          </a:p>
        </rich>
      </tx>
    </title>
    <plotArea>
      <barChart>
        <barDir val="bar"/>
        <grouping val="clustered"/>
        <ser>
          <idx val="0"/>
          <order val="0"/>
          <tx>
            <strRef>
              <f>'Synthèse'!B15</f>
            </strRef>
          </tx>
          <spPr>
            <a:ln>
              <a:prstDash val="solid"/>
            </a:ln>
          </spPr>
          <cat>
            <numRef>
              <f>'Synthèse'!$A$16:$A$27</f>
            </numRef>
          </cat>
          <val>
            <numRef>
              <f>'Synthèse'!$B$16:$B$27</f>
            </numRef>
          </val>
        </ser>
        <ser>
          <idx val="1"/>
          <order val="1"/>
          <tx>
            <strRef>
              <f>'Synthèse'!C15</f>
            </strRef>
          </tx>
          <spPr>
            <a:ln>
              <a:prstDash val="solid"/>
            </a:ln>
          </spPr>
          <cat>
            <numRef>
              <f>'Synthèse'!$A$16:$A$27</f>
            </numRef>
          </cat>
          <val>
            <numRef>
              <f>'Synthèse'!$C$16:$C$27</f>
            </numRef>
          </val>
        </ser>
        <gapWidth val="150"/>
        <axId val="10"/>
        <axId val="100"/>
      </barChart>
      <catAx>
        <axId val="10"/>
        <scaling>
          <orientation val="minMax"/>
        </scaling>
        <axPos val="l"/>
        <majorTickMark val="none"/>
        <minorTickMark val="none"/>
        <crossAx val="100"/>
        <lblOffset val="100"/>
      </catAx>
      <valAx>
        <axId val="100"/>
        <scaling>
          <orientation val="minMax"/>
          <max val="100"/>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6</row>
      <rowOff>0</rowOff>
    </from>
    <ext cx="3600000" cy="252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14</row>
      <rowOff>0</rowOff>
    </from>
    <ext cx="6120000" cy="43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F56"/>
  <sheetViews>
    <sheetView workbookViewId="0">
      <pane ySplit="5" topLeftCell="A6" activePane="bottomLeft" state="frozen"/>
      <selection pane="bottomLeft" activeCell="A1" sqref="A1"/>
    </sheetView>
  </sheetViews>
  <sheetFormatPr baseColWidth="8" defaultRowHeight="15"/>
  <cols>
    <col width="46" customWidth="1" min="1" max="1"/>
    <col width="26" customWidth="1" min="2" max="2"/>
    <col width="26" customWidth="1" min="3" max="3"/>
    <col width="14" customWidth="1" min="4" max="4"/>
    <col width="11" customWidth="1" min="5" max="5"/>
    <col width="10" customWidth="1" min="6" max="6"/>
  </cols>
  <sheetData>
    <row r="1">
      <c r="A1" s="1" t="inlineStr">
        <is>
          <t>Audit Vol d'Histoire — v4.9.0</t>
        </is>
      </c>
    </row>
    <row r="2">
      <c r="A2" s="2" t="inlineStr">
        <is>
          <t>Audit du 8 septembre 2026 · correctifs appliqués le 8 septembre 2026 · 53 constats · 43 corrigés, 9 ouverts, 1 écarté</t>
        </is>
      </c>
    </row>
    <row r="4" ht="32" customHeight="1">
      <c r="A4" s="3" t="inlineStr">
        <is>
          <t>SCORE GLOBAL</t>
        </is>
      </c>
      <c r="B4" s="4" t="inlineStr">
        <is>
          <t>83 → 99 / 100</t>
        </is>
      </c>
    </row>
    <row r="5">
      <c r="A5" s="5" t="inlineStr">
        <is>
          <t>Le score résiduel ne compte que les constats encore ouverts. Il reste élevé parce que l'essentiel de ce qui subsiste est informatif — un seul constat majeur demeure (PERF-08).</t>
        </is>
      </c>
    </row>
    <row r="7">
      <c r="A7" s="6" t="inlineStr">
        <is>
          <t>Répartition par statut</t>
        </is>
      </c>
    </row>
    <row r="8" ht="26" customHeight="1">
      <c r="A8" s="7" t="inlineStr">
        <is>
          <t>Statut</t>
        </is>
      </c>
      <c r="B8" s="7" t="inlineStr">
        <is>
          <t>Nombre</t>
        </is>
      </c>
    </row>
    <row r="9">
      <c r="A9" s="8" t="inlineStr">
        <is>
          <t>Corrigé</t>
        </is>
      </c>
      <c r="B9" s="9" t="n">
        <v>43</v>
      </c>
    </row>
    <row r="10">
      <c r="A10" s="10" t="inlineStr">
        <is>
          <t>Ouvert</t>
        </is>
      </c>
      <c r="B10" s="9" t="n">
        <v>9</v>
      </c>
    </row>
    <row r="11">
      <c r="A11" s="11" t="inlineStr">
        <is>
          <t>Écarté</t>
        </is>
      </c>
      <c r="B11" s="9" t="n">
        <v>1</v>
      </c>
    </row>
    <row r="14">
      <c r="A14" s="6" t="inlineStr">
        <is>
          <t>Score par domaine</t>
        </is>
      </c>
    </row>
    <row r="15" ht="26" customHeight="1">
      <c r="A15" s="7" t="inlineStr">
        <is>
          <t>Domaine</t>
        </is>
      </c>
      <c r="B15" s="7" t="inlineStr">
        <is>
          <t>Avant</t>
        </is>
      </c>
      <c r="C15" s="7" t="inlineStr">
        <is>
          <t>Après</t>
        </is>
      </c>
      <c r="D15" s="7" t="inlineStr">
        <is>
          <t>Constats</t>
        </is>
      </c>
      <c r="E15" s="7" t="inlineStr">
        <is>
          <t>Corrigés</t>
        </is>
      </c>
      <c r="F15" s="7" t="inlineStr">
        <is>
          <t>Ouverts</t>
        </is>
      </c>
    </row>
    <row r="16">
      <c r="A16" s="12" t="inlineStr">
        <is>
          <t>1. Architecture &amp; structure</t>
        </is>
      </c>
      <c r="B16" s="13" t="n">
        <v>92</v>
      </c>
      <c r="C16" s="13" t="n">
        <v>100</v>
      </c>
      <c r="D16" t="n">
        <v>3</v>
      </c>
      <c r="E16" t="n">
        <v>1</v>
      </c>
      <c r="F16" t="n">
        <v>1</v>
      </c>
    </row>
    <row r="17">
      <c r="A17" s="12" t="inlineStr">
        <is>
          <t>2. HTML &amp; sémantique</t>
        </is>
      </c>
      <c r="B17" s="13" t="n">
        <v>100</v>
      </c>
      <c r="C17" s="13" t="n">
        <v>100</v>
      </c>
      <c r="D17" t="n">
        <v>1</v>
      </c>
      <c r="E17" t="n">
        <v>1</v>
      </c>
      <c r="F17" t="n">
        <v>0</v>
      </c>
    </row>
    <row r="18">
      <c r="A18" s="12" t="inlineStr">
        <is>
          <t>3. CSS &amp; design system</t>
        </is>
      </c>
      <c r="B18" s="14" t="n">
        <v>88</v>
      </c>
      <c r="C18" s="13" t="n">
        <v>100</v>
      </c>
      <c r="D18" t="n">
        <v>5</v>
      </c>
      <c r="E18" t="n">
        <v>4</v>
      </c>
      <c r="F18" t="n">
        <v>1</v>
      </c>
    </row>
    <row r="19">
      <c r="A19" s="12" t="inlineStr">
        <is>
          <t>4. JavaScript</t>
        </is>
      </c>
      <c r="B19" s="13" t="n">
        <v>94</v>
      </c>
      <c r="C19" s="13" t="n">
        <v>100</v>
      </c>
      <c r="D19" t="n">
        <v>3</v>
      </c>
      <c r="E19" t="n">
        <v>3</v>
      </c>
      <c r="F19" t="n">
        <v>0</v>
      </c>
    </row>
    <row r="20">
      <c r="A20" s="12" t="inlineStr">
        <is>
          <t>5. Performance</t>
        </is>
      </c>
      <c r="B20" s="14" t="n">
        <v>82</v>
      </c>
      <c r="C20" s="13" t="n">
        <v>94</v>
      </c>
      <c r="D20" t="n">
        <v>8</v>
      </c>
      <c r="E20" t="n">
        <v>5</v>
      </c>
      <c r="F20" t="n">
        <v>3</v>
      </c>
    </row>
    <row r="21">
      <c r="A21" s="12" t="inlineStr">
        <is>
          <t>6. Accessibilité</t>
        </is>
      </c>
      <c r="B21" s="15" t="n">
        <v>41</v>
      </c>
      <c r="C21" s="13" t="n">
        <v>100</v>
      </c>
      <c r="D21" t="n">
        <v>14</v>
      </c>
      <c r="E21" t="n">
        <v>14</v>
      </c>
      <c r="F21" t="n">
        <v>0</v>
      </c>
    </row>
    <row r="22">
      <c r="A22" s="12" t="inlineStr">
        <is>
          <t>7. Sécurité</t>
        </is>
      </c>
      <c r="B22" s="14" t="n">
        <v>82</v>
      </c>
      <c r="C22" s="13" t="n">
        <v>98</v>
      </c>
      <c r="D22" t="n">
        <v>6</v>
      </c>
      <c r="E22" t="n">
        <v>4</v>
      </c>
      <c r="F22" t="n">
        <v>2</v>
      </c>
    </row>
    <row r="23">
      <c r="A23" s="12" t="inlineStr">
        <is>
          <t>8. SEO technique</t>
        </is>
      </c>
      <c r="B23" s="13" t="n">
        <v>96</v>
      </c>
      <c r="C23" s="13" t="n">
        <v>100</v>
      </c>
      <c r="D23" t="n">
        <v>3</v>
      </c>
      <c r="E23" t="n">
        <v>2</v>
      </c>
      <c r="F23" t="n">
        <v>1</v>
      </c>
    </row>
    <row r="24">
      <c r="A24" s="12" t="inlineStr">
        <is>
          <t>9. Conformité RGPD</t>
        </is>
      </c>
      <c r="B24" s="15" t="n">
        <v>69</v>
      </c>
      <c r="C24" s="13" t="n">
        <v>100</v>
      </c>
      <c r="D24" t="n">
        <v>5</v>
      </c>
      <c r="E24" t="n">
        <v>5</v>
      </c>
      <c r="F24" t="n">
        <v>0</v>
      </c>
    </row>
    <row r="25">
      <c r="A25" s="12" t="inlineStr">
        <is>
          <t>10. Qualité du code</t>
        </is>
      </c>
      <c r="B25" s="13" t="n">
        <v>98</v>
      </c>
      <c r="C25" s="13" t="n">
        <v>100</v>
      </c>
      <c r="D25" t="n">
        <v>2</v>
      </c>
      <c r="E25" t="n">
        <v>1</v>
      </c>
      <c r="F25" t="n">
        <v>1</v>
      </c>
    </row>
    <row r="26">
      <c r="A26" s="12" t="inlineStr">
        <is>
          <t>11. Mobile &amp; PWA</t>
        </is>
      </c>
      <c r="B26" s="13" t="n">
        <v>98</v>
      </c>
      <c r="C26" s="13" t="n">
        <v>100</v>
      </c>
      <c r="D26" t="n">
        <v>1</v>
      </c>
      <c r="E26" t="n">
        <v>1</v>
      </c>
      <c r="F26" t="n">
        <v>0</v>
      </c>
    </row>
    <row r="27">
      <c r="A27" s="12" t="inlineStr">
        <is>
          <t>12. Contenu &amp; éditorial</t>
        </is>
      </c>
      <c r="B27" s="13" t="n">
        <v>98</v>
      </c>
      <c r="C27" s="13" t="n">
        <v>100</v>
      </c>
      <c r="D27" t="n">
        <v>2</v>
      </c>
      <c r="E27" t="n">
        <v>2</v>
      </c>
      <c r="F27" t="n">
        <v>0</v>
      </c>
    </row>
    <row r="30">
      <c r="A30" s="6" t="inlineStr">
        <is>
          <t>Mesures avant / après</t>
        </is>
      </c>
    </row>
    <row r="31" ht="26" customHeight="1">
      <c r="A31" s="7" t="inlineStr">
        <is>
          <t>Indicateur</t>
        </is>
      </c>
      <c r="B31" s="7" t="inlineStr">
        <is>
          <t>Avant</t>
        </is>
      </c>
      <c r="C31" s="7" t="inlineStr">
        <is>
          <t>Après</t>
        </is>
      </c>
      <c r="D31" s="7" t="inlineStr">
        <is>
          <t>Évolution</t>
        </is>
      </c>
    </row>
    <row r="32">
      <c r="A32" s="12" t="inlineStr">
        <is>
          <t>Violations axe-core (11 pages, WCAG 2.0/2.1/2.2 AA)</t>
        </is>
      </c>
      <c r="B32" s="12" t="inlineStr">
        <is>
          <t>1 violation, 6 nœuds</t>
        </is>
      </c>
      <c r="C32" s="9" t="inlineStr">
        <is>
          <t>0</t>
        </is>
      </c>
      <c r="D32" s="16" t="inlineStr">
        <is>
          <t>amélioré</t>
        </is>
      </c>
    </row>
    <row r="33">
      <c r="A33" s="12" t="inlineStr">
        <is>
          <t>Lighthouse — bonnes pratiques</t>
        </is>
      </c>
      <c r="B33" s="12" t="inlineStr">
        <is>
          <t>96</t>
        </is>
      </c>
      <c r="C33" s="9" t="inlineStr">
        <is>
          <t>100</t>
        </is>
      </c>
      <c r="D33" s="16" t="inlineStr">
        <is>
          <t>amélioré</t>
        </is>
      </c>
    </row>
    <row r="34">
      <c r="A34" s="12" t="inlineStr">
        <is>
          <t>Lighthouse — performance</t>
        </is>
      </c>
      <c r="B34" s="12" t="inlineStr">
        <is>
          <t>86</t>
        </is>
      </c>
      <c r="C34" s="9" t="inlineStr">
        <is>
          <t>86</t>
        </is>
      </c>
      <c r="D34" s="17" t="inlineStr">
        <is>
          <t>inchangé</t>
        </is>
      </c>
    </row>
    <row r="35">
      <c r="A35" s="12" t="inlineStr">
        <is>
          <t>Lighthouse — accessibilité</t>
        </is>
      </c>
      <c r="B35" s="12" t="inlineStr">
        <is>
          <t>100</t>
        </is>
      </c>
      <c r="C35" s="9" t="inlineStr">
        <is>
          <t>100</t>
        </is>
      </c>
      <c r="D35" s="17" t="inlineStr">
        <is>
          <t>inchangé</t>
        </is>
      </c>
    </row>
    <row r="36">
      <c r="A36" s="12" t="inlineStr">
        <is>
          <t>Lighthouse — SEO</t>
        </is>
      </c>
      <c r="B36" s="12" t="inlineStr">
        <is>
          <t>100</t>
        </is>
      </c>
      <c r="C36" s="9" t="inlineStr">
        <is>
          <t>100</t>
        </is>
      </c>
      <c r="D36" s="17" t="inlineStr">
        <is>
          <t>inchangé</t>
        </is>
      </c>
    </row>
    <row r="37">
      <c r="A37" s="12" t="inlineStr">
        <is>
          <t>LCP (accueil, mobile émulé)</t>
        </is>
      </c>
      <c r="B37" s="12" t="inlineStr">
        <is>
          <t>4 140 ms</t>
        </is>
      </c>
      <c r="C37" s="9" t="inlineStr">
        <is>
          <t>4 208 ms</t>
        </is>
      </c>
      <c r="D37" s="17" t="inlineStr">
        <is>
          <t>inchangé</t>
        </is>
      </c>
    </row>
    <row r="38">
      <c r="A38" s="12" t="inlineStr">
        <is>
          <t>Total Blocking Time</t>
        </is>
      </c>
      <c r="B38" s="12" t="inlineStr">
        <is>
          <t>92 ms</t>
        </is>
      </c>
      <c r="C38" s="9" t="inlineStr">
        <is>
          <t>55 ms</t>
        </is>
      </c>
      <c r="D38" s="16" t="inlineStr">
        <is>
          <t>amélioré</t>
        </is>
      </c>
    </row>
    <row r="39">
      <c r="A39" s="12" t="inlineStr">
        <is>
          <t>Cumulative Layout Shift</t>
        </is>
      </c>
      <c r="B39" s="12" t="inlineStr">
        <is>
          <t>0,005</t>
        </is>
      </c>
      <c r="C39" s="9" t="inlineStr">
        <is>
          <t>0,000</t>
        </is>
      </c>
      <c r="D39" s="16" t="inlineStr">
        <is>
          <t>amélioré</t>
        </is>
      </c>
    </row>
    <row r="40">
      <c r="A40" s="12" t="inlineStr">
        <is>
          <t>Économies d'images potentielles</t>
        </is>
      </c>
      <c r="B40" s="12" t="inlineStr">
        <is>
          <t>536 Kio</t>
        </is>
      </c>
      <c r="C40" s="9" t="inlineStr">
        <is>
          <t>239 Kio</t>
        </is>
      </c>
      <c r="D40" s="16" t="inlineStr">
        <is>
          <t>amélioré</t>
        </is>
      </c>
    </row>
    <row r="41">
      <c r="A41" s="12" t="inlineStr">
        <is>
          <t>Ressources à cache court</t>
        </is>
      </c>
      <c r="B41" s="12" t="inlineStr">
        <is>
          <t>21</t>
        </is>
      </c>
      <c r="C41" s="9" t="inlineStr">
        <is>
          <t>10</t>
        </is>
      </c>
      <c r="D41" s="16" t="inlineStr">
        <is>
          <t>amélioré</t>
        </is>
      </c>
    </row>
    <row r="42">
      <c r="A42" s="12" t="inlineStr">
        <is>
          <t>Erreurs en console (visite anonyme)</t>
        </is>
      </c>
      <c r="B42" s="12" t="inlineStr">
        <is>
          <t>1 (401)</t>
        </is>
      </c>
      <c r="C42" s="9" t="inlineStr">
        <is>
          <t>0</t>
        </is>
      </c>
      <c r="D42" s="16" t="inlineStr">
        <is>
          <t>amélioré</t>
        </is>
      </c>
    </row>
    <row r="43">
      <c r="A43" s="12" t="inlineStr">
        <is>
          <t>app.min.js (chargé sur toutes les pages)</t>
        </is>
      </c>
      <c r="B43" s="12" t="inlineStr">
        <is>
          <t>111,6 Ko</t>
        </is>
      </c>
      <c r="C43" s="9" t="inlineStr">
        <is>
          <t>27,5 Ko</t>
        </is>
      </c>
      <c r="D43" s="16" t="inlineStr">
        <is>
          <t>amélioré</t>
        </is>
      </c>
    </row>
    <row r="44">
      <c r="A44" s="12" t="inlineStr">
        <is>
          <t>npm audit --omit=dev</t>
        </is>
      </c>
      <c r="B44" s="12" t="inlineStr">
        <is>
          <t>10 vulnérabilités, dont 3 « high »</t>
        </is>
      </c>
      <c r="C44" s="9" t="inlineStr">
        <is>
          <t>0</t>
        </is>
      </c>
      <c r="D44" s="16" t="inlineStr">
        <is>
          <t>amélioré</t>
        </is>
      </c>
    </row>
    <row r="45">
      <c r="A45" s="12" t="inlineStr">
        <is>
          <t>Couverture de frontend/js/utils.js</t>
        </is>
      </c>
      <c r="B45" s="12" t="inlineStr">
        <is>
          <t>52,43 %</t>
        </is>
      </c>
      <c r="C45" s="9" t="inlineStr">
        <is>
          <t>91,46 %</t>
        </is>
      </c>
      <c r="D45" s="16" t="inlineStr">
        <is>
          <t>amélioré</t>
        </is>
      </c>
    </row>
    <row r="46">
      <c r="A46" s="12" t="inlineStr">
        <is>
          <t>Tests backend</t>
        </is>
      </c>
      <c r="B46" s="12" t="inlineStr">
        <is>
          <t>551</t>
        </is>
      </c>
      <c r="C46" s="9" t="inlineStr">
        <is>
          <t>555</t>
        </is>
      </c>
      <c r="D46" s="16" t="inlineStr">
        <is>
          <t>amélioré</t>
        </is>
      </c>
    </row>
    <row r="47">
      <c r="A47" s="12" t="inlineStr">
        <is>
          <t>Tests frontend</t>
        </is>
      </c>
      <c r="B47" s="12" t="inlineStr">
        <is>
          <t>146</t>
        </is>
      </c>
      <c r="C47" s="9" t="inlineStr">
        <is>
          <t>162</t>
        </is>
      </c>
      <c r="D47" s="16" t="inlineStr">
        <is>
          <t>amélioré</t>
        </is>
      </c>
    </row>
    <row r="48">
      <c r="A48" s="12" t="inlineStr">
        <is>
          <t>Scénarios E2E</t>
        </is>
      </c>
      <c r="B48" s="12" t="inlineStr">
        <is>
          <t>120 réussis / 1 échec</t>
        </is>
      </c>
      <c r="C48" s="9" t="inlineStr">
        <is>
          <t>120 réussis / 1 échec</t>
        </is>
      </c>
      <c r="D48" s="17" t="inlineStr">
        <is>
          <t>inchangé</t>
        </is>
      </c>
    </row>
    <row r="49">
      <c r="A49" s="12" t="inlineStr">
        <is>
          <t>ESLint / html-validate</t>
        </is>
      </c>
      <c r="B49" s="12" t="inlineStr">
        <is>
          <t>0 / 0</t>
        </is>
      </c>
      <c r="C49" s="9" t="inlineStr">
        <is>
          <t>0 / 0</t>
        </is>
      </c>
      <c r="D49" s="17" t="inlineStr">
        <is>
          <t>inchangé</t>
        </is>
      </c>
    </row>
    <row r="51">
      <c r="A51" s="6" t="inlineStr">
        <is>
          <t>Méthode de notation</t>
        </is>
      </c>
    </row>
    <row r="52">
      <c r="A52" s="5" t="inlineStr">
        <is>
          <t>Score du domaine = 100 − (15 × Critique + 6 × Majeur + 2 × Mineur), plancher à 0.</t>
        </is>
      </c>
    </row>
    <row r="53">
      <c r="A53" s="5" t="inlineStr">
        <is>
          <t>Score global = moyenne pondérée : Sécurité ×2 ; Performance, Accessibilité et RGPD ×1,5 ; Contenu ×0,5 ; les autres ×1.</t>
        </is>
      </c>
    </row>
    <row r="54">
      <c r="A54" s="5" t="inlineStr">
        <is>
          <t>« Avant » compte tous les constats de l'audit initial ; « après » ne compte que ceux restés ouverts.</t>
        </is>
      </c>
    </row>
    <row r="55">
      <c r="A55" s="5" t="inlineStr">
        <is>
          <t>A11Y-14 et PERF-08 sont nés de la vérification post-correctifs : ils ne pèsent pas sur le score initial.</t>
        </is>
      </c>
    </row>
    <row r="56">
      <c r="A56" s="5" t="inlineStr">
        <is>
          <t>Toutes les mesures ci-dessus ont été reproduites sur le même poste, serveur local en NODE_ENV=test.</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5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Constats détaillés</t>
        </is>
      </c>
    </row>
    <row r="2">
      <c r="A2" s="2" t="inlineStr">
        <is>
          <t>Ouverts d'abord, puis corrigés, puis écartés · chaque ligne cite un fichier, une preuve et le correctif appliqué</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PERF-08</t>
        </is>
      </c>
      <c r="B5" s="19" t="inlineStr">
        <is>
          <t>5. Performance</t>
        </is>
      </c>
      <c r="C5" s="20" t="inlineStr">
        <is>
          <t>Le LCP reste à 4,2 s, désormais bloqué par le rendu du titre</t>
        </is>
      </c>
      <c r="D5" s="21" t="inlineStr">
        <is>
          <t>Majeur</t>
        </is>
      </c>
      <c r="E5" s="22" t="inlineStr">
        <is>
          <t>Ouvert</t>
        </is>
      </c>
      <c r="F5" s="20" t="inlineStr">
        <is>
          <t>—</t>
        </is>
      </c>
      <c r="G5" s="20" t="inlineStr">
        <is>
          <t>frontend/index.html</t>
        </is>
      </c>
      <c r="H5" s="19" t="inlineStr">
        <is>
          <t>105-112</t>
        </is>
      </c>
      <c r="I5" s="20" t="inlineStr">
        <is>
          <t>La conversion de l'image du quiz en AVIF (PERF-02) a bien sorti l'image de la position LCP — c'est maintenant le titre de l'accueil. Mais le temps total n'a pas bougé : le retard s'est déplacé du chargement de l'image vers le rendu du titre, où il représente 89 % du délai.</t>
        </is>
      </c>
      <c r="J5" s="20" t="inlineStr">
        <is>
          <t>Seul indicateur Core Web Vitals dans le rouge. Les autres sont bons : CLS 0,000 et TBT 55 ms après correctifs.</t>
        </is>
      </c>
      <c r="K5" s="20" t="inlineStr">
        <is>
          <t>Investiguer séparément. Deux pistes à mesurer : l'animation .gradient-text de style-hero-split.css, dont le fill-mode both et le délai de 0,7 s laissent le texte transparent au premier rendu ; et le remplacement de texte opéré par i18n.js après chargement des locales, qui redéclenche une candidature LCP.</t>
        </is>
      </c>
      <c r="L5" s="19" t="inlineStr">
        <is>
          <t>M</t>
        </is>
      </c>
      <c r="M5" s="19" t="n">
        <v>1</v>
      </c>
      <c r="N5" s="20" t="inlineStr">
        <is>
          <t>Lighthouse 12.8.2 après correctifs, décomposition du LCP : TTFB 454 ms (11 %), Load Delay 0 ms, Load Time 0 ms, Render Delay 3754 ms (89 %). Élément : h1.hero-split-title. Mesure reproductible à 1 ms près sur trois exécutions (4207 / 4208 / 4208 ms).</t>
        </is>
      </c>
    </row>
    <row r="6" ht="62" customHeight="1">
      <c r="A6" s="18" t="inlineStr">
        <is>
          <t>SEC-04</t>
        </is>
      </c>
      <c r="B6" s="19" t="inlineStr">
        <is>
          <t>7. Sécurité</t>
        </is>
      </c>
      <c r="C6" s="20" t="inlineStr">
        <is>
          <t>jwt.verify sans restriction explicite d'algorithme</t>
        </is>
      </c>
      <c r="D6" s="23" t="inlineStr">
        <is>
          <t>Mineur</t>
        </is>
      </c>
      <c r="E6" s="22" t="inlineStr">
        <is>
          <t>Ouvert</t>
        </is>
      </c>
      <c r="F6" s="20" t="inlineStr">
        <is>
          <t>—</t>
        </is>
      </c>
      <c r="G6" s="20" t="inlineStr">
        <is>
          <t>backend/middleware/auth.js</t>
        </is>
      </c>
      <c r="H6" s="19" t="inlineStr">
        <is>
          <t>170 (+ routes/auth.js:192 et 249)</t>
        </is>
      </c>
      <c r="I6" s="20" t="inlineStr">
        <is>
          <t>Trois appels ne fixent pas algorithms. jsonwebtoken@9.0.3 avec un secret HMAC n'est pas vulnérable à la confusion d'algorithme : aucune exploitation actuelle.</t>
        </is>
      </c>
      <c r="J6" s="20" t="inlineStr">
        <is>
          <t>Nul aujourd'hui. Risque latent en cas de migration vers des clés asymétriques.</t>
        </is>
      </c>
      <c r="K6" s="20" t="inlineStr">
        <is>
          <t>Ajouter { algorithms: ['HS256'] } aux trois appels.</t>
        </is>
      </c>
      <c r="L6" s="19" t="inlineStr">
        <is>
          <t>S</t>
        </is>
      </c>
      <c r="M6" s="19" t="n">
        <v>16</v>
      </c>
      <c r="N6" s="20" t="inlineStr">
        <is>
          <t>const decoded = jwt.verify(token, process.env.JWT_SECRET);</t>
        </is>
      </c>
    </row>
    <row r="7" ht="62" customHeight="1">
      <c r="A7" s="18" t="inlineStr">
        <is>
          <t>SEC-06</t>
        </is>
      </c>
      <c r="B7" s="19" t="inlineStr">
        <is>
          <t>7. Sécurité</t>
        </is>
      </c>
      <c r="C7" s="20" t="inlineStr">
        <is>
          <t>firstname/lastname du formulaire de contact non validés</t>
        </is>
      </c>
      <c r="D7" s="24" t="inlineStr">
        <is>
          <t>Info</t>
        </is>
      </c>
      <c r="E7" s="22" t="inlineStr">
        <is>
          <t>Ouvert</t>
        </is>
      </c>
      <c r="F7" s="20" t="inlineStr">
        <is>
          <t>—</t>
        </is>
      </c>
      <c r="G7" s="20" t="inlineStr">
        <is>
          <t>backend/routes/contact.js</t>
        </is>
      </c>
      <c r="H7" s="19" t="inlineStr">
        <is>
          <t>14 et 27</t>
        </is>
      </c>
      <c r="I7" s="20" t="inlineStr">
        <is>
          <t>email et message sont validés (isValidEmail, isValidString(5000)), pas ces deux champs. Aucun risque XSS : mailer.js:225 échappe via escapeHtmlEmail, et le corps est borné à 100 Ko.</t>
        </is>
      </c>
      <c r="J7" s="20" t="inlineStr">
        <is>
          <t>Incohérence de validation aux frontières, aucune vulnérabilité constatée.</t>
        </is>
      </c>
      <c r="K7" s="20" t="inlineStr">
        <is>
          <t>Ajouter une validation de longueur (100 caractères).</t>
        </is>
      </c>
      <c r="L7" s="19" t="inlineStr">
        <is>
          <t>S</t>
        </is>
      </c>
      <c r="M7" s="19" t="n">
        <v>22</v>
      </c>
      <c r="N7" s="20" t="inlineStr">
        <is>
          <t>const safeName = [(firstname || '').trim(), (lastname || '').trim()].filter(Boolean).join(' ') || 'Anonyme';</t>
        </is>
      </c>
    </row>
    <row r="8" ht="62" customHeight="1">
      <c r="A8" s="18" t="inlineStr">
        <is>
          <t>PERF-06</t>
        </is>
      </c>
      <c r="B8" s="19" t="inlineStr">
        <is>
          <t>5. Performance</t>
        </is>
      </c>
      <c r="C8" s="20" t="inlineStr">
        <is>
          <t>430 ms de CSS bloquant le rendu sur l'accueil</t>
        </is>
      </c>
      <c r="D8" s="24" t="inlineStr">
        <is>
          <t>Info</t>
        </is>
      </c>
      <c r="E8" s="22" t="inlineStr">
        <is>
          <t>Ouvert</t>
        </is>
      </c>
      <c r="F8" s="20" t="inlineStr">
        <is>
          <t>—</t>
        </is>
      </c>
      <c r="G8" s="20" t="inlineStr">
        <is>
          <t>frontend/index.html</t>
        </is>
      </c>
      <c r="H8" s="19" t="inlineStr">
        <is>
          <t>42-43</t>
        </is>
      </c>
      <c r="I8" s="20" t="inlineStr">
        <is>
          <t>Deux feuilles bloquantes dans le &lt;head&gt;, de tailles raisonnables ; le coût vient surtout de la latence.</t>
        </is>
      </c>
      <c r="J8" s="20" t="inlineStr">
        <is>
          <t>Retarde le premier rendu, mais FCP mesuré à 1,2 s (score 0,99).</t>
        </is>
      </c>
      <c r="K8" s="20" t="inlineStr">
        <is>
          <t>Optionnel : inliner le CSS critique du hero et charger le reste en asynchrone.</t>
        </is>
      </c>
      <c r="L8" s="19" t="inlineStr">
        <is>
          <t>M</t>
        </is>
      </c>
      <c r="M8" s="19" t="n">
        <v>27</v>
      </c>
      <c r="N8" s="20" t="inlineStr">
        <is>
          <t>Lighthouse render-blocking-resources : home.min.css 307 ms (10 Ko) + core.min.css 157 ms (13 Ko)</t>
        </is>
      </c>
    </row>
    <row r="9" ht="62" customHeight="1">
      <c r="A9" s="18" t="inlineStr">
        <is>
          <t>PERF-07</t>
        </is>
      </c>
      <c r="B9" s="19" t="inlineStr">
        <is>
          <t>5. Performance</t>
        </is>
      </c>
      <c r="C9" s="20" t="inlineStr">
        <is>
          <t>119 Mo d'images dans le dépôt, en triple exemplaire</t>
        </is>
      </c>
      <c r="D9" s="24" t="inlineStr">
        <is>
          <t>Info</t>
        </is>
      </c>
      <c r="E9" s="22" t="inlineStr">
        <is>
          <t>Ouvert</t>
        </is>
      </c>
      <c r="F9" s="20" t="inlineStr">
        <is>
          <t>—</t>
        </is>
      </c>
      <c r="G9" s="20" t="inlineStr">
        <is>
          <t>frontend/assets/airplanes/</t>
        </is>
      </c>
      <c r="H9" s="19" t="inlineStr">
        <is>
          <t>—</t>
        </is>
      </c>
      <c r="I9" s="20" t="inlineStr">
        <is>
          <t>Les trois formats coexistent, ce qui est nécessaire au &lt;picture&gt; avec repli. Le JPEG de repli reste le plus lourd des trois.</t>
        </is>
      </c>
      <c r="J9" s="20" t="inlineStr">
        <is>
          <t>Poids de dépôt et de déploiement, sans effet sur le visiteur (qui ne télécharge qu'un format).</t>
        </is>
      </c>
      <c r="K9" s="20" t="inlineStr">
        <is>
          <t>Aucune action requise. À surveiller si le catalogue double : envisager un stockage d'objets plutôt que le dépôt Git.</t>
        </is>
      </c>
      <c r="L9" s="19" t="inlineStr">
        <is>
          <t>L</t>
        </is>
      </c>
      <c r="M9" s="19" t="n">
        <v>28</v>
      </c>
      <c r="N9" s="20" t="inlineStr">
        <is>
          <t>du : 383 JPEG (54,8 Mo) + 383 WebP (38,3 Mo) + 383 AVIF (22,5 Mo) = 115,6 Mo ; plus lourde : t6-texan2.jpg (468 Ko)</t>
        </is>
      </c>
    </row>
    <row r="10" ht="62" customHeight="1">
      <c r="A10" s="18" t="inlineStr">
        <is>
          <t>SEO-03</t>
        </is>
      </c>
      <c r="B10" s="19" t="inlineStr">
        <is>
          <t>8. SEO technique</t>
        </is>
      </c>
      <c r="C10" s="20" t="inlineStr">
        <is>
          <t>Meta description de la chronologie au-dessus de la limite d'affichage</t>
        </is>
      </c>
      <c r="D10" s="24" t="inlineStr">
        <is>
          <t>Info</t>
        </is>
      </c>
      <c r="E10" s="22" t="inlineStr">
        <is>
          <t>Ouvert</t>
        </is>
      </c>
      <c r="F10" s="20" t="inlineStr">
        <is>
          <t>—</t>
        </is>
      </c>
      <c r="G10" s="20" t="inlineStr">
        <is>
          <t>frontend/timeline.html</t>
        </is>
      </c>
      <c r="H10" s="19" t="inlineStr">
        <is>
          <t>—</t>
        </is>
      </c>
      <c r="I10" s="20" t="inlineStr">
        <is>
          <t>La limite pratique avant troncature dans les résultats de recherche est de 155 à 160 caractères.</t>
        </is>
      </c>
      <c r="J10" s="20" t="inlineStr">
        <is>
          <t>Risque de troncature de la fin de la description.</t>
        </is>
      </c>
      <c r="K10" s="20" t="inlineStr">
        <is>
          <t>Raccourcir de quelques mots.</t>
        </is>
      </c>
      <c r="L10" s="19" t="inlineStr">
        <is>
          <t>S</t>
        </is>
      </c>
      <c r="M10" s="19" t="n">
        <v>29</v>
      </c>
      <c r="N10" s="20" t="inlineStr">
        <is>
          <t>Mesure programmatique sur les 18 pages : timeline.html = 164 caractères ; toutes les autres sont entre 57 et 124.</t>
        </is>
      </c>
    </row>
    <row r="11" ht="62" customHeight="1">
      <c r="A11" s="18" t="inlineStr">
        <is>
          <t>CSS-05</t>
        </is>
      </c>
      <c r="B11" s="19" t="inlineStr">
        <is>
          <t>3. CSS &amp; design system</t>
        </is>
      </c>
      <c r="C11" s="20" t="inlineStr">
        <is>
          <t>Approche desktop-first, contrairement au mobile-first documenté</t>
        </is>
      </c>
      <c r="D11" s="24" t="inlineStr">
        <is>
          <t>Info</t>
        </is>
      </c>
      <c r="E11" s="22" t="inlineStr">
        <is>
          <t>Ouvert</t>
        </is>
      </c>
      <c r="F11" s="20" t="inlineStr">
        <is>
          <t>—</t>
        </is>
      </c>
      <c r="G11" s="20" t="inlineStr">
        <is>
          <t>frontend/css/</t>
        </is>
      </c>
      <c r="H11" s="19" t="inlineStr">
        <is>
          <t>—</t>
        </is>
      </c>
      <c r="I11" s="20" t="inlineStr">
        <is>
          <t>Écart entre la documentation d'architecture et la pratique réelle, plus quelques points de rupture ad hoc.</t>
        </is>
      </c>
      <c r="J11" s="20" t="inlineStr">
        <is>
          <t>Aucun défaut visible constaté ; coût de compréhension pour un nouvel arrivant.</t>
        </is>
      </c>
      <c r="K11" s="20" t="inlineStr">
        <is>
          <t>Aligner la documentation sur la réalité, ou converger vers l'échelle de tokens lors des prochaines retouches.</t>
        </is>
      </c>
      <c r="L11" s="19" t="inlineStr">
        <is>
          <t>M</t>
        </is>
      </c>
      <c r="M11" s="19" t="n">
        <v>30</v>
      </c>
      <c r="N11" s="20" t="inlineStr">
        <is>
          <t>Sur 88 media queries : 67 max-width contre 9 min-width. Sept valeurs hors de l'échelle déclarée dans tokens.css:8-13 : 37.5em (contact.css:100), 600px (details-lineage.css:102), 1024px et 640px (shared-base.css:1326,1332), 70em (style-hero-split.css:352), 1280px (style-sections.css:69), 47.99em (nations-map.css:205).</t>
        </is>
      </c>
    </row>
    <row r="12" ht="62" customHeight="1">
      <c r="A12" s="18" t="inlineStr">
        <is>
          <t>ARCH-03</t>
        </is>
      </c>
      <c r="B12" s="19" t="inlineStr">
        <is>
          <t>1. Architecture &amp; structure</t>
        </is>
      </c>
      <c r="C12" s="20" t="inlineStr">
        <is>
          <t>Trois feuilles de style dépassent le seuil de 800 lignes du projet</t>
        </is>
      </c>
      <c r="D12" s="24" t="inlineStr">
        <is>
          <t>Info</t>
        </is>
      </c>
      <c r="E12" s="22" t="inlineStr">
        <is>
          <t>Ouvert</t>
        </is>
      </c>
      <c r="F12" s="20" t="inlineStr">
        <is>
          <t>—</t>
        </is>
      </c>
      <c r="G12" s="20" t="inlineStr">
        <is>
          <t>frontend/css/shared-base.css</t>
        </is>
      </c>
      <c r="H12" s="19" t="inlineStr">
        <is>
          <t>—</t>
        </is>
      </c>
      <c r="I12" s="20" t="inlineStr">
        <is>
          <t>La règle interne des 800 lignes est tenue partout sauf sur ces trois feuilles.</t>
        </is>
      </c>
      <c r="J12" s="20" t="inlineStr">
        <is>
          <t>Lisibilité de la feuille partagée, chargée sur toutes les pages.</t>
        </is>
      </c>
      <c r="K12" s="20" t="inlineStr">
        <is>
          <t>Découper shared-base.css par domaine au prochain passage sur le CSS.</t>
        </is>
      </c>
      <c r="L12" s="19" t="inlineStr">
        <is>
          <t>M</t>
        </is>
      </c>
      <c r="M12" s="19" t="n">
        <v>31</v>
      </c>
      <c r="N12" s="20" t="inlineStr">
        <is>
          <t>wc -l : shared-base.css 1338, timeline.css 993, details.css 991. Aucun fichier JS ne dépasse le seuil (plus gros : routes/airplanes.js 651, app.js 580, favorites.js 588).</t>
        </is>
      </c>
    </row>
    <row r="13" ht="62" customHeight="1">
      <c r="A13" s="18" t="inlineStr">
        <is>
          <t>QUAL-02</t>
        </is>
      </c>
      <c r="B13" s="19" t="inlineStr">
        <is>
          <t>10. Qualité du code</t>
        </is>
      </c>
      <c r="C13" s="20" t="inlineStr">
        <is>
          <t>Convention de guillemets non tenue dans quelques fichiers</t>
        </is>
      </c>
      <c r="D13" s="24" t="inlineStr">
        <is>
          <t>Info</t>
        </is>
      </c>
      <c r="E13" s="22" t="inlineStr">
        <is>
          <t>Ouvert</t>
        </is>
      </c>
      <c r="F13" s="20" t="inlineStr">
        <is>
          <t>—</t>
        </is>
      </c>
      <c r="G13" s="20" t="inlineStr">
        <is>
          <t>frontend/js/login.js</t>
        </is>
      </c>
      <c r="H13" s="19" t="inlineStr">
        <is>
          <t>1 et suivantes</t>
        </is>
      </c>
      <c r="I13" s="20" t="inlineStr">
        <is>
          <t>La règle du projet est le guillemet simple en JS. ESLint ne l'applique pas (aucune règle quotes configurée).</t>
        </is>
      </c>
      <c r="J13" s="20" t="inlineStr">
        <is>
          <t>Cosmétique.</t>
        </is>
      </c>
      <c r="K13" s="20" t="inlineStr">
        <is>
          <t>Ajouter la règle quotes à ESLint et laisser --fix faire la passe.</t>
        </is>
      </c>
      <c r="L13" s="19" t="inlineStr">
        <is>
          <t>S</t>
        </is>
      </c>
      <c r="M13" s="19" t="n">
        <v>35</v>
      </c>
      <c r="N13" s="20" t="inlineStr">
        <is>
          <t>≈24 occurrences de guillemets doubles dans login.js ; addEventListener("DOMContentLoaded", …) en doubles dans 5 fichiers (favorites.js:3, login.js:1, script.js:2, settings.js:1, timeline.js:6) ; 12 occurrences dans backend/validators.js:168-193 et app.js:55,147.</t>
        </is>
      </c>
    </row>
    <row r="14" ht="62" customHeight="1">
      <c r="A14" s="18" t="inlineStr">
        <is>
          <t>RGPD-01</t>
        </is>
      </c>
      <c r="B14" s="19" t="inlineStr">
        <is>
          <t>9. Conformité RGPD</t>
        </is>
      </c>
      <c r="C14" s="20" t="inlineStr">
        <is>
          <t>La garde de consentement de Sentry lit une clé qui n'existe pas</t>
        </is>
      </c>
      <c r="D14" s="25" t="inlineStr">
        <is>
          <t>Critique</t>
        </is>
      </c>
      <c r="E14" s="26" t="inlineStr">
        <is>
          <t>Corrigé</t>
        </is>
      </c>
      <c r="F14" s="20" t="inlineStr">
        <is>
          <t>frontend/js/cookies.js — accesseur unique window.VH.consent (get / allows / denies) ajouté en fin de fichier ; frontend/js/sentry-init.js:20 le consomme. Un seul fichier connaît désormais le nom de la clé et la forme stockée.</t>
        </is>
      </c>
      <c r="G14" s="20" t="inlineStr">
        <is>
          <t>frontend/js/sentry-init.js</t>
        </is>
      </c>
      <c r="H14" s="19" t="inlineStr">
        <is>
          <t>20-21</t>
        </is>
      </c>
      <c r="I14" s="20" t="inlineStr">
        <is>
          <t>Double décalage vérifié : mauvaise clé ET mauvaise forme. consent vaut donc toujours null, et la garde ne se déclenche jamais.</t>
        </is>
      </c>
      <c r="J14" s="20" t="inlineStr">
        <is>
          <t>Sentry se charge et transmet à un sous-traitant américain (IP, URL, contexte navigateur) même quand le visiteur a explicitement refusé les cookies analytiques. Le commentaire du fichier et la politique de confidentialité décrivent un comportement que le code ne produit pas. Effet réel conditionné à la présence d'un DSN en production — non vérifiable depuis ce poste, aucun DSN n'étant injecté en local.</t>
        </is>
      </c>
      <c r="K14" s="20" t="inlineStr">
        <is>
          <t>Lire la même clé et la même forme que cookies.js. Mieux : exposer un helper unique VH.consent.get() consommé par les deux fichiers, pour que la forme ne puisse plus diverger.</t>
        </is>
      </c>
      <c r="L14" s="19" t="inlineStr">
        <is>
          <t>S</t>
        </is>
      </c>
      <c r="M14" s="19" t="n">
        <v>1</v>
      </c>
      <c r="N14" s="20" t="inlineStr">
        <is>
          <t>var consent = JSON.parse(localStorage.getItem('cookie-consent') || 'null'); if (consent &amp;&amp; consent.analytics === false) return; — or cookies.js:7 : this.cookieName = 'voldhistoire_cookie_consent' ; cookies.js:296 et 316 : la forme stockée est { preferences: { analytics } }</t>
        </is>
      </c>
    </row>
    <row r="15" ht="62" customHeight="1">
      <c r="A15" s="18" t="inlineStr">
        <is>
          <t>A11Y-01</t>
        </is>
      </c>
      <c r="B15" s="19" t="inlineStr">
        <is>
          <t>6. Accessibilité</t>
        </is>
      </c>
      <c r="C15" s="20" t="inlineStr">
        <is>
          <t>Le lien d'évitement du hangar ne mène nulle part, et la page n'a aucun &lt;main&gt;</t>
        </is>
      </c>
      <c r="D15" s="25" t="inlineStr">
        <is>
          <t>Critique</t>
        </is>
      </c>
      <c r="E15" s="26" t="inlineStr">
        <is>
          <t>Corrigé</t>
        </is>
      </c>
      <c r="F15" s="20" t="inlineStr">
        <is>
          <t>frontend/hangar.html:137 — &lt;section class="hangar-content"&gt; devient &lt;main id="main-content" class="hangar-content"&gt;, fermeture ajustée ligne 195. Le lien d'évitement pointe enfin sur une ancre existante.</t>
        </is>
      </c>
      <c r="G15" s="20" t="inlineStr">
        <is>
          <t>frontend/hangar.html</t>
        </is>
      </c>
      <c r="H15" s="19" t="inlineStr">
        <is>
          <t>70</t>
        </is>
      </c>
      <c r="I15" s="20" t="inlineStr">
        <is>
          <t>Le contenu principal est une &lt;section class="hangar-content"&gt; (l.137) sans id ni rôle. Le premier élément focusable de la page pointe vers une ancre inexistante.</t>
        </is>
      </c>
      <c r="J15" s="20" t="inlineStr">
        <is>
          <t>Sur la page la plus utilisée du site, les utilisateurs clavier et lecteur d'écran n'ont aucun moyen de contourner l'en-tête et la navigation, et aucune région principale à cibler. Échec WCAG 2.4.1 (niveau A) et 1.3.1.</t>
        </is>
      </c>
      <c r="K15" s="20" t="inlineStr">
        <is>
          <t>Ajouter id="main-content" sur la section, ou l'englober dans &lt;main id="main-content"&gt;. Une ligne.</t>
        </is>
      </c>
      <c r="L15" s="19" t="inlineStr">
        <is>
          <t>S</t>
        </is>
      </c>
      <c r="M15" s="19" t="n">
        <v>1</v>
      </c>
      <c r="N15" s="20" t="inlineStr">
        <is>
          <t>&lt;a href="#main-content" class="skip-link"&gt;Aller au contenu&lt;/a&gt; — c'est la SEULE occurrence de « main-content » du fichier ; grep « &lt;main » sur hangar.html : 0 résultat. Les 10 autres pages complètes ont bien &lt;main id="main-content"&gt; (index.html:103, details.html:201, settings.html:71…).</t>
        </is>
      </c>
    </row>
    <row r="16" ht="62" customHeight="1">
      <c r="A16" s="18" t="inlineStr">
        <is>
          <t>SEC-01</t>
        </is>
      </c>
      <c r="B16" s="19" t="inlineStr">
        <is>
          <t>7. Sécurité</t>
        </is>
      </c>
      <c r="C16" s="20" t="inlineStr">
        <is>
          <t>Le scrubbing des logs est contourné sur le chemin Sentry</t>
        </is>
      </c>
      <c r="D16" s="21" t="inlineStr">
        <is>
          <t>Majeur</t>
        </is>
      </c>
      <c r="E16" s="26" t="inlineStr">
        <is>
          <t>Corrigé</t>
        </is>
      </c>
      <c r="F16" s="20" t="inlineStr">
        <is>
          <t>backend/logger.js:80-86 — le transfert vers Sentry lit safeMeta (valeur épurée) au lieu de meta. Vérifié : 7 occurrences de safeMeta dans le fichier.</t>
        </is>
      </c>
      <c r="G16" s="20" t="inlineStr">
        <is>
          <t>backend/logger.js</t>
        </is>
      </c>
      <c r="H16" s="19" t="inlineStr">
        <is>
          <t>80-84</t>
        </is>
      </c>
      <c r="I16" s="20" t="inlineStr">
        <is>
          <t>log() calcule safeMeta et l'utilise pour la sortie console/JSON, correctement épurée des mots de passe, jetons et cookies. Le transfert vers Sentry, lui, réutilise la variable meta BRUTE. Tout appel logger.error('…', { password, token, … }) enverrait ces valeurs en clair dans les extras Sentry.</t>
        </is>
      </c>
      <c r="J16" s="20" t="inlineStr">
        <is>
          <t>Des secrets ou données personnelles peuvent quitter le serveur vers un tiers alors que sanitize-logs.js affirme explicitement les protéger. Un jeton de session exposé dans Sentry reste réutilisable.</t>
        </is>
      </c>
      <c r="K16" s="20" t="inlineStr">
        <is>
          <t>Remplacer meta par safeMeta lignes 80-84 (scrub() préserve les objets Error, donc safeMeta.error reste exploitable ligne 85).</t>
        </is>
      </c>
      <c r="L16" s="19" t="inlineStr">
        <is>
          <t>S</t>
        </is>
      </c>
      <c r="M16" s="19" t="n">
        <v>2</v>
      </c>
      <c r="N16" s="20" t="inlineStr">
        <is>
          <t>l.66 : const safeMeta = (meta &amp;&amp; scrub) ? scrub(meta) : meta; — l.80-84 : Object.entries(meta).forEach(([k, v]) =&gt; { if (k !== 'error') scope.setExtra(k, v); })</t>
        </is>
      </c>
    </row>
    <row r="17" ht="62" customHeight="1">
      <c r="A17" s="18" t="inlineStr">
        <is>
          <t>PERF-01</t>
        </is>
      </c>
      <c r="B17" s="19" t="inlineStr">
        <is>
          <t>5. Performance</t>
        </is>
      </c>
      <c r="C17" s="20" t="inlineStr">
        <is>
          <t>Trois images sont préchargées en priorité haute et ne sont affichées nulle part</t>
        </is>
      </c>
      <c r="D17" s="21" t="inlineStr">
        <is>
          <t>Majeur</t>
        </is>
      </c>
      <c r="E17" s="26" t="inlineStr">
        <is>
          <t>Corrigé</t>
        </is>
      </c>
      <c r="F17" s="20" t="inlineStr">
        <is>
          <t>frontend/js/script.js — bloc preloadImages supprimé (14 lignes). Les trois fichiers ne figuraient nulle part ailleurs dans le HTML ou le JS.</t>
        </is>
      </c>
      <c r="G17" s="20" t="inlineStr">
        <is>
          <t>frontend/js/script.js</t>
        </is>
      </c>
      <c r="H17" s="19" t="inlineStr">
        <is>
          <t>134-147</t>
        </is>
      </c>
      <c r="I17" s="20" t="inlineStr">
        <is>
          <t>Elles sont injectées en &lt;link rel=preload as=image&gt; sur l'accueil, qui affiche en réalité rafale, f22-raptor et mig29.</t>
        </is>
      </c>
      <c r="J17" s="20" t="inlineStr">
        <is>
          <t>≈348 Ko téléchargés en priorité haute à chaque visite de l'accueil, pour rien, en concurrence directe avec l'élément LCP mesuré à 4,1 s.</t>
        </is>
      </c>
      <c r="K17" s="20" t="inlineStr">
        <is>
          <t>Supprimer le bloc lignes 134-147. Si un préchargement est souhaité, le cibler sur l'image réellement en LCP.</t>
        </is>
      </c>
      <c r="L17" s="19" t="inlineStr">
        <is>
          <t>S</t>
        </is>
      </c>
      <c r="M17" s="19" t="n">
        <v>2</v>
      </c>
      <c r="N17" s="20" t="inlineStr">
        <is>
          <t>const preloadImages = ['/assets/airplanes/f16-fighting-falcon.jpg', '/assets/airplanes/mig21.jpg', '/assets/airplanes/su27.jpg']; — recherche sur tout frontend/*.html et frontend/js/**/*.js : ces trois noms n'apparaissent nulle part ailleurs. Lighthouse les chiffre à 120 + 117 + 111 Ko.</t>
        </is>
      </c>
    </row>
    <row r="18" ht="62" customHeight="1">
      <c r="A18" s="18" t="inlineStr">
        <is>
          <t>SEC-02</t>
        </is>
      </c>
      <c r="B18" s="19" t="inlineStr">
        <is>
          <t>7. Sécurité</t>
        </is>
      </c>
      <c r="C18" s="20" t="inlineStr">
        <is>
          <t>escapeJson n'échappe pas « &lt; » avant injection dans un &lt;script&gt; JSON-LD</t>
        </is>
      </c>
      <c r="D18" s="21" t="inlineStr">
        <is>
          <t>Majeur</t>
        </is>
      </c>
      <c r="E18" s="26" t="inlineStr">
        <is>
          <t>Corrigé</t>
        </is>
      </c>
      <c r="F18" s="20" t="inlineStr">
        <is>
          <t>backend/routes/details-ssr.js:29-31 — escapeJson ajoute .replace(/&lt;/g, '\u003c'). Test de non-régression ajouté : un nom contenant &lt;/script&gt; ne referme plus le bloc JSON-LD.</t>
        </is>
      </c>
      <c r="G18" s="20" t="inlineStr">
        <is>
          <t>backend/routes/details-ssr.js</t>
        </is>
      </c>
      <c r="H18" s="19" t="inlineStr">
        <is>
          <t>25-26</t>
        </is>
      </c>
      <c r="I18" s="20" t="inlineStr">
        <is>
          <t>Le JSON-LD rendu côté serveur interpole aircraft.name — modifiable par un rôle éditeur ou admin, sans filtrage de caractères dans validators.js — dans un &lt;script type="application/ld+json"&gt;. Une valeur contenant &lt;/script&gt;&lt;script&gt;… romprait le bloc.</t>
        </is>
      </c>
      <c r="J18" s="20" t="inlineStr">
        <is>
          <t>XSS stocké déclenchable sans interaction sur /details/:slug. Atténué par la CSP (script-src sans 'unsafe-inline' ni nonce : un script inline injecté est bloqué), mais la défense repose alors entièrement sur elle. Exploitation nécessite un compte éditeur/admin compromis.</t>
        </is>
      </c>
      <c r="K18" s="20" t="inlineStr">
        <is>
          <t>Ajouter .replace(/&lt;/g, '\u003c') dans escapeJson — pratique standard pour du JSON injecté dans du HTML.</t>
        </is>
      </c>
      <c r="L18" s="19" t="inlineStr">
        <is>
          <t>S</t>
        </is>
      </c>
      <c r="M18" s="19" t="n">
        <v>3</v>
      </c>
      <c r="N18" s="20" t="inlineStr">
        <is>
          <t>return String(str || '').replace(/[\u0000-\u001f\u2028\u2029]/g, …) — n'échappe ni &lt; ni /</t>
        </is>
      </c>
    </row>
    <row r="19" ht="62" customHeight="1">
      <c r="A19" s="18" t="inlineStr">
        <is>
          <t>PERF-02</t>
        </is>
      </c>
      <c r="B19" s="19" t="inlineStr">
        <is>
          <t>5. Performance</t>
        </is>
      </c>
      <c r="C19" s="20" t="inlineStr">
        <is>
          <t>L'élément LCP est une image JPEG servie sans AVIF ni WebP</t>
        </is>
      </c>
      <c r="D19" s="21" t="inlineStr">
        <is>
          <t>Majeur</t>
        </is>
      </c>
      <c r="E19" s="26" t="inlineStr">
        <is>
          <t>Corrigé</t>
        </is>
      </c>
      <c r="F19" s="20" t="inlineStr">
        <is>
          <t>frontend/js/script.js — l'image du quiz passe par VH.shared.picture.applySourcesTo(), comme le hero de fiche. Effet mesuré : économies d'images potentielles 536 → 239 Kio, et l'élément LCP n'est plus l'image.</t>
        </is>
      </c>
      <c r="G19" s="20" t="inlineStr">
        <is>
          <t>frontend/index.html</t>
        </is>
      </c>
      <c r="H19" s="19" t="inlineStr">
        <is>
          <t>164 (et frontend/js/script.js:469)</t>
        </is>
      </c>
      <c r="I19" s="20" t="inlineStr">
        <is>
          <t>Le projet génère pourtant .avif et .webp pour les 383 fiches et dispose du helper VH.shared.picture, utilisé par card.js:41, timeline.js:86 et details/render.js:45. L'image du quiz est le seul visuel majeur resté en &lt;img&gt; JPEG nu.</t>
        </is>
      </c>
      <c r="J19" s="20" t="inlineStr">
        <is>
          <t>LCP à 4,1 s en émulation mobile : seul indicateur Core Web Vitals dans le rouge (CLS 0,005 et TBT 90 ms sont excellents).</t>
        </is>
      </c>
      <c r="K19" s="20" t="inlineStr">
        <is>
          <t>Appliquer VH.shared.picture.applySourcesTo() à #hero-quiz-image, comme details/render.js:45 le fait pour le hero de fiche.</t>
        </is>
      </c>
      <c r="L19" s="19" t="inlineStr">
        <is>
          <t>S</t>
        </is>
      </c>
      <c r="M19" s="19" t="n">
        <v>3</v>
      </c>
      <c r="N19" s="20" t="inlineStr">
        <is>
          <t>Lighthouse 12.8.2 : LCP = 4,1 s (score 0,46), élément = aside.hero-aside-stack &gt; article#hero-quiz-card &gt; … &gt; IMG. index.html:164 = &lt;img class="hero-quiz-image" … src="/assets/airplanes/f15-eagle.jpg"&gt; ; script.js:469 = image.src = current.image_url. Audit modern-image-formats : 536 Kio d'économie estimée.</t>
        </is>
      </c>
    </row>
    <row r="20" ht="62" customHeight="1">
      <c r="A20" s="18" t="inlineStr">
        <is>
          <t>A11Y-02</t>
        </is>
      </c>
      <c r="B20" s="19" t="inlineStr">
        <is>
          <t>6. Accessibilité</t>
        </is>
      </c>
      <c r="C20" s="20" t="inlineStr">
        <is>
          <t>Contraste insuffisant sur 6 libellés de la page Paramètres</t>
        </is>
      </c>
      <c r="D20" s="21" t="inlineStr">
        <is>
          <t>Majeur</t>
        </is>
      </c>
      <c r="E20" s="26" t="inlineStr">
        <is>
          <t>Corrigé</t>
        </is>
      </c>
      <c r="F20" s="20" t="inlineStr">
        <is>
          <t>frontend/css/settings.css:61 — .link-description passe à rgba(255,255,255,0.55), soit 6,2:1 mesuré. tokens.css — nouveau --accent-text #E74C3C (4,9:1) utilisé par .danger-link, l'ancien --accent restant pour les fonds et bordures.</t>
        </is>
      </c>
      <c r="G20" s="20" t="inlineStr">
        <is>
          <t>frontend/css/settings.css</t>
        </is>
      </c>
      <c r="H20" s="19" t="inlineStr">
        <is>
          <t>61 et 54</t>
        </is>
      </c>
      <c r="I20" s="20" t="inlineStr">
        <is>
          <t>Seule violation relevée par axe sur les 11 pages testées. Concerne les descriptions de la barre latérale et l'entrée « zone de danger ».</t>
        </is>
      </c>
      <c r="J20" s="20" t="inlineStr">
        <is>
          <t>Texte difficilement lisible pour les personnes malvoyantes ou sur écran peu contrasté. Échec WCAG 1.4.3 niveau AA.</t>
        </is>
      </c>
      <c r="K20" s="20" t="inlineStr">
        <is>
          <t>.link-description à rgba(255,255,255,0.55) (≈4,6:1) ; éclaircir l'accent rouge pour cet usage sur fond sombre (#e74c3c donne ≈4,6:1).</t>
        </is>
      </c>
      <c r="L20" s="19" t="inlineStr">
        <is>
          <t>S</t>
        </is>
      </c>
      <c r="M20" s="19" t="n">
        <v>4</v>
      </c>
      <c r="N20" s="20" t="inlineStr">
        <is>
          <t>axe-core 4.13.0 : 6 occurrences de color-contrast. Ratios mesurés 3,19:1 / 3,21:1 (#656565 sur #121212, 12,8 px) et 3,44:1 (#c0392b sur #121212, 15,2 px) pour un minimum de 4,5:1. settings.css:61 = .link-description { color: rgba(255,255,255,0.35) } ; settings.css:54 = .sidebar-link.danger-link { color: var(--accent) }</t>
        </is>
      </c>
    </row>
    <row r="21" ht="62" customHeight="1">
      <c r="A21" s="18" t="inlineStr">
        <is>
          <t>RGPD-02</t>
        </is>
      </c>
      <c r="B21" s="19" t="inlineStr">
        <is>
          <t>9. Conformité RGPD</t>
        </is>
      </c>
      <c r="C21" s="20" t="inlineStr">
        <is>
          <t>Le contenu légal de secours affiche des durées de conservation fausses</t>
        </is>
      </c>
      <c r="D21" s="21" t="inlineStr">
        <is>
          <t>Majeur</t>
        </is>
      </c>
      <c r="E21" s="26" t="inlineStr">
        <is>
          <t>Corrigé</t>
        </is>
      </c>
      <c r="F21" s="20" t="inlineStr">
        <is>
          <t>frontend/politique-confidentialite.html — jetons 2 h → 15 min, ligne « jeton de rafraîchissement : 7 jours » ajoutée, analytics 26 → 14 mois, ligne Sentry 30 jours ajoutée, base légale des analytics corrigée en « consentement ». frontend/mentions-legales.html — Google, Sentry et hCaptcha nommés avec leur pays et les Clauses Contractuelles Types.</t>
        </is>
      </c>
      <c r="G21" s="20" t="inlineStr">
        <is>
          <t>frontend/politique-confidentialite.html</t>
        </is>
      </c>
      <c r="H21" s="19" t="inlineStr">
        <is>
          <t>242 et 252</t>
        </is>
      </c>
      <c r="I21" s="20" t="inlineStr">
        <is>
          <t>Ce HTML statique n'est pas un brouillon : il est affiché tant que i18n.js n'a pas fini son fetch, et définitivement si ce fetch échoue (JS désactivé, réseau, extension bloquante). Les mentions légales ont le même défaut : le fallback ne nomme aucun sous-traitant, là où la version i18n cite Google, Sentry et hCaptcha.</t>
        </is>
      </c>
      <c r="J21" s="20" t="inlineStr">
        <is>
          <t>Un visiteur sans JavaScript, et tout robot n'exécutant pas JS, lit des durées de conservation fausses et aucune mention des sous-traitants américains. Manquement à l'obligation d'information de l'article 13 du RGPD.</t>
        </is>
      </c>
      <c r="K21" s="20" t="inlineStr">
        <is>
          <t>Générer le fallback depuis la même source que fr.json au build, ou rendre ces pages côté serveur comme /details l'est déjà.</t>
        </is>
      </c>
      <c r="L21" s="19" t="inlineStr">
        <is>
          <t>M</t>
        </is>
      </c>
      <c r="M21" s="19" t="n">
        <v>5</v>
      </c>
      <c r="N21" s="20" t="inlineStr">
        <is>
          <t>l.242 : « 2 heures (expiration automatique à chaque connexion) » ; l.252 : « 26 mois maximum » — or fr.json (legal.pc_sec4_body) annonce « Token d'accès JWT : 15 minutes », « Refresh token : 7 jours », « Données analytiques : 14 mois », et backend/middleware/auth.js:14-15 confirme ACCESS_TOKEN_EXPIRY = '15m' / REFRESH_TOKEN_EXPIRY = '7d'</t>
        </is>
      </c>
    </row>
    <row r="22" ht="62" customHeight="1">
      <c r="A22" s="18" t="inlineStr">
        <is>
          <t>A11Y-14</t>
        </is>
      </c>
      <c r="B22" s="19" t="inlineStr">
        <is>
          <t>6. Accessibilité</t>
        </is>
      </c>
      <c r="C22" s="20" t="inlineStr">
        <is>
          <t>Cases du comparateur à 18 × 18 px sur les cartes du hangar</t>
        </is>
      </c>
      <c r="D22" s="21" t="inlineStr">
        <is>
          <t>Majeur</t>
        </is>
      </c>
      <c r="E22" s="26" t="inlineStr">
        <is>
          <t>Corrigé</t>
        </is>
      </c>
      <c r="F22" s="20" t="inlineStr">
        <is>
          <t>frontend/css/hangar.css — les trois règles de .compare-check input passent à 24 × 24 px (vue grille, vue liste et palier mobile).</t>
        </is>
      </c>
      <c r="G22" s="20" t="inlineStr">
        <is>
          <t>frontend/css/hangar.css</t>
        </is>
      </c>
      <c r="H22" s="19" t="inlineStr">
        <is>
          <t>441-460</t>
        </is>
      </c>
      <c r="I22" s="20" t="inlineStr">
        <is>
          <t>Constat absent du premier passage : les cartes n'étaient pas rendues au moment où axe a analysé le hangar, faute de données en base locale. Le second passage, avec un catalogue peuplé, l'a fait apparaître.</t>
        </is>
      </c>
      <c r="J22" s="20" t="inlineStr">
        <is>
          <t>Cible sous le minimum de 24 × 24 px du critère WCAG 2.5.8, sur une action fréquente et répétée : sélectionner des appareils à comparer.</t>
        </is>
      </c>
      <c r="K22" s="20" t="inlineStr">
        <is>
          <t>Fixer width et height à 24 px sur .compare-check input, dans les trois contextes (grille, liste, mobile).</t>
        </is>
      </c>
      <c r="L22" s="19" t="inlineStr">
        <is>
          <t>S</t>
        </is>
      </c>
      <c r="M22" s="19" t="n">
        <v>5</v>
      </c>
      <c r="N22" s="20" t="inlineStr">
        <is>
          <t>axe-core, passe de vérification : 3 occurrences de target-size sur input[data-compare-id]. La taille par défaut du navigateur (18 px) s'appliquait, aucune règle ne la fixant.</t>
        </is>
      </c>
    </row>
    <row r="23" ht="62" customHeight="1">
      <c r="A23" s="18" t="inlineStr">
        <is>
          <t>RGPD-03</t>
        </is>
      </c>
      <c r="B23" s="19" t="inlineStr">
        <is>
          <t>9. Conformité RGPD</t>
        </is>
      </c>
      <c r="C23" s="20" t="inlineStr">
        <is>
          <t>Les drapeaux flagcdn.com sont appelés avant toute décision de consentement</t>
        </is>
      </c>
      <c r="D23" s="21" t="inlineStr">
        <is>
          <t>Majeur</t>
        </is>
      </c>
      <c r="E23" s="26" t="inlineStr">
        <is>
          <t>Corrigé</t>
        </is>
      </c>
      <c r="F23" s="20" t="inlineStr">
        <is>
          <t>41 drapeaux auto-hébergés dans frontend/assets/flags/ (PNG 80 px, 15 Ko au total) ; card.js et index.html pointent en local ; preconnect retiré des 5 pages ; flagcdn.com sorti de la CSP (app.js:80). Plus aucune référence au domaine dans le code.</t>
        </is>
      </c>
      <c r="G23" s="20" t="inlineStr">
        <is>
          <t>frontend/index.html</t>
        </is>
      </c>
      <c r="H23" s="19" t="inlineStr">
        <is>
          <t>15 (repris dans details, favorites, hangar, timeline)</t>
        </is>
      </c>
      <c r="I23" s="20" t="inlineStr">
        <is>
          <t>Contrairement à GTM (defaults « denied » puis chargement conditionnel), rien ne conditionne cet appel tiers. La connexion est même ouverte en preconnect avant l'affichage du bandeau (temporisé à 200 ms).</t>
        </is>
      </c>
      <c r="J23" s="20" t="inlineStr">
        <is>
          <t>L'adresse IP du visiteur est exposée à un tiers dès le premier rendu, avant tout choix. Aucun cookie n'est déposé par flagcdn d'après le code, donc le risque juridique est moindre qu'un traceur — mais l'appel n'est mentionné nulle part dans la politique, qui se présente comme la liste exhaustive des traceurs.</t>
        </is>
      </c>
      <c r="K23" s="20" t="inlineStr">
        <is>
          <t>Auto-héberger les SVG de drapeaux (le projet le fait déjà pour les polices), ou à défaut documenter cet appel dans la politique de confidentialité.</t>
        </is>
      </c>
      <c r="L23" s="19" t="inlineStr">
        <is>
          <t>S</t>
        </is>
      </c>
      <c r="M23" s="19" t="n">
        <v>6</v>
      </c>
      <c r="N23" s="20" t="inlineStr">
        <is>
          <t>&lt;link rel="preconnect" href="https://flagcdn.com"&gt; ; frontend/js/shared/card.js:32 : src="https://flagcdn.com/${alpha[aircraft.country_code]}.svg"</t>
        </is>
      </c>
    </row>
    <row r="24" ht="62" customHeight="1">
      <c r="A24" s="18" t="inlineStr">
        <is>
          <t>JS-01</t>
        </is>
      </c>
      <c r="B24" s="19" t="inlineStr">
        <is>
          <t>4. JavaScript</t>
        </is>
      </c>
      <c r="C24" s="20" t="inlineStr">
        <is>
          <t>10 vulnérabilités connues dans les dépendances de production, dont 3 « high »</t>
        </is>
      </c>
      <c r="D24" s="21" t="inlineStr">
        <is>
          <t>Majeur</t>
        </is>
      </c>
      <c r="E24" s="26" t="inlineStr">
        <is>
          <t>Corrigé</t>
        </is>
      </c>
      <c r="F24" s="20" t="inlineStr">
        <is>
          <t>npm audit fix (ip-address, brace-expansion, qs, body-parser) puis nodemailer 8.0.7 → 10.0.1. L'API utilisée par mailer.js — createTransport et sendMail — est inchangée, vérifiée au chargement et par les 555 tests. npm audit --omit=dev : 0 vulnérabilité.</t>
        </is>
      </c>
      <c r="G24" s="20" t="inlineStr">
        <is>
          <t>backend/package.json</t>
        </is>
      </c>
      <c r="H24" s="19" t="inlineStr">
        <is>
          <t>—</t>
        </is>
      </c>
      <c r="I24" s="20" t="inlineStr">
        <is>
          <t>La documentation du projet affirme que « npm audit --omit=dev reste clean » : ce n'est plus le cas. Les paquets racine (5 vulnérabilités) et frontend (5) sont en dev uniquement.</t>
        </is>
      </c>
      <c r="J24" s="20" t="inlineStr">
        <is>
          <t>nodemailer : les CVE visent jsonTransport, l'option raw et les en-têtes List-*, qu'aucun code du projet n'utilise — risque latent, pas immédiat. ip-address : une IP forgée mal classifiée pourrait contourner la clé de limitation de débit du login, donc faciliter une attaque par force brute. À confirmer par un test dédié.</t>
        </is>
      </c>
      <c r="K24" s="20" t="inlineStr">
        <is>
          <t>npm audit fix pour les correctifs non cassants (ip-address, brace-expansion, qs, body-parser), puis planifier séparément nodemailer 8.x → 10.x (changement cassant : vérifier createTransport et sendMail).</t>
        </is>
      </c>
      <c r="L24" s="19" t="inlineStr">
        <is>
          <t>M</t>
        </is>
      </c>
      <c r="M24" s="19" t="n">
        <v>6</v>
      </c>
      <c r="N24" s="20" t="inlineStr">
        <is>
          <t>npm audit --omit=dev : {low: 1, moderate: 6, high: 3, total: 10}. High : nodemailer &lt;=9.0.0 (installé 8.0.7), ip-address &lt;=10.3.0 (via express-rate-limit), brace-expansion (via @sentry/node → @fastify/otel → minimatch). Moderate : qs, @opentelemetry/* ×4, uuid/hyperid. Low : body-parser.</t>
        </is>
      </c>
    </row>
    <row r="25" ht="62" customHeight="1">
      <c r="A25" s="18" t="inlineStr">
        <is>
          <t>A11Y-03</t>
        </is>
      </c>
      <c r="B25" s="19" t="inlineStr">
        <is>
          <t>6. Accessibilité</t>
        </is>
      </c>
      <c r="C25" s="20" t="inlineStr">
        <is>
          <t>L'indicateur de focus est quasi invisible sur les champs de recherche et de formulaire</t>
        </is>
      </c>
      <c r="D25" s="21" t="inlineStr">
        <is>
          <t>Majeur</t>
        </is>
      </c>
      <c r="E25" s="26" t="inlineStr">
        <is>
          <t>Corrigé</t>
        </is>
      </c>
      <c r="F25" s="20" t="inlineStr">
        <is>
          <t>8 règles alignées (hangar.css:97,144,249 ; favorites.css:210,277 ; settings.css:85,129 ; details.css:373) : bordure de focus portée de 0,2 à 0,45 d'opacité, ombre de 0,04 à 0,12. shared-base.css — anneau :focus-visible explicite (2 px hud-cyan) sur input, select et textarea.</t>
        </is>
      </c>
      <c r="G25" s="20" t="inlineStr">
        <is>
          <t>frontend/css/hangar.css</t>
        </is>
      </c>
      <c r="H25" s="19" t="inlineStr">
        <is>
          <t>97, 144, 249 (+ favorites.css:210,277 ; settings.css:85,129 ; details.css:373)</t>
        </is>
      </c>
      <c r="I25" s="20" t="inlineStr">
        <is>
          <t>Ces règles suppriment le contour natif sans le remplacer par un indicateur suffisant : une bordure blanche à 20 % d'opacité et une ombre à 4 % sur un fond #141414. Contraste estimé par composition alpha ≈ 1,9:1, contre 3:1 exigé. Estimation calculée, non mesurée à l'écran — la marge reste large. Le reste du projet applique pourtant correctement :focus:not(:focus-visible) (base.css:32-35, login.css:306-322, contact.css:149-157).</t>
        </is>
      </c>
      <c r="J25" s="20" t="inlineStr">
        <is>
          <t>Les utilisateurs clavier perdent la trace du focus sur les champs des pages hangar, favoris, paramètres et fiche. Échec WCAG 2.4.7 et 1.4.11.</t>
        </is>
      </c>
      <c r="K25" s="20" t="inlineStr">
        <is>
          <t>Aligner ces 8 règles sur le motif :focus-visible déjà employé ailleurs dans le projet.</t>
        </is>
      </c>
      <c r="L25" s="19" t="inlineStr">
        <is>
          <t>S</t>
        </is>
      </c>
      <c r="M25" s="19" t="n">
        <v>7</v>
      </c>
      <c r="N25" s="20" t="inlineStr">
        <is>
          <t>input:focus { outline: none; border-color: rgba(255,255,255,0.2); box-shadow: 0 0 0 3px rgba(255,255,255,0.04); } — 8 règles au même motif, sans garde :focus-visible</t>
        </is>
      </c>
    </row>
    <row r="26" ht="62" customHeight="1">
      <c r="A26" s="18" t="inlineStr">
        <is>
          <t>A11Y-04</t>
        </is>
      </c>
      <c r="B26" s="19" t="inlineStr">
        <is>
          <t>6. Accessibilité</t>
        </is>
      </c>
      <c r="C26" s="20" t="inlineStr">
        <is>
          <t>Trois pages perdent leur unique &lt;h1&gt; dans l'état que voit l'utilisateur</t>
        </is>
      </c>
      <c r="D26" s="21" t="inlineStr">
        <is>
          <t>Majeur</t>
        </is>
      </c>
      <c r="E26" s="26" t="inlineStr">
        <is>
          <t>Corrigé</t>
        </is>
      </c>
      <c r="F26" s="20" t="inlineStr">
        <is>
          <t>forgot-password.html:176, reset-password.html:182 et verify-email.html — les titres des états terminaux passent en &lt;h1&gt;. Un seul est visible à la fois, l'autre conteneur étant masqué.</t>
        </is>
      </c>
      <c r="G26" s="20" t="inlineStr">
        <is>
          <t>frontend/forgot-password.html</t>
        </is>
      </c>
      <c r="H26" s="19" t="inlineStr">
        <is>
          <t>157 vs 176 (idem reset-password.html:191/182, verify-email.html:130/138)</t>
        </is>
      </c>
      <c r="I26" s="20" t="inlineStr">
        <is>
          <t>Dans l'état final (succès, erreur, lien invalide) — celui que voit la majorité des utilisateurs — la page n'a plus aucun titre de niveau 1.</t>
        </is>
      </c>
      <c r="J26" s="20" t="inlineStr">
        <is>
          <t>Navigation par titres incohérente pour les lecteurs d'écran. Échec WCAG 1.3.1 / 2.4.6.</t>
        </is>
      </c>
      <c r="K26" s="20" t="inlineStr">
        <is>
          <t>Conserver un conteneur de titre unique dont le niveau ne change pas selon l'état, ou promouvoir les &lt;h2&gt; de succès/erreur en &lt;h1&gt;.</t>
        </is>
      </c>
      <c r="L26" s="19" t="inlineStr">
        <is>
          <t>S</t>
        </is>
      </c>
      <c r="M26" s="19" t="n">
        <v>8</v>
      </c>
      <c r="N26" s="20" t="inlineStr">
        <is>
          <t>Le &lt;h1&gt; est dans #fp-form-section (l.156-157) ; js/forgot-password.js:51-52 fait formSection.style.display = 'none' puis successEl.style.display = 'block', et #fp-success ne contient qu'un &lt;h2&gt; (l.176). Même schéma dans reset-password.js:7-8 et verify-email.js.</t>
        </is>
      </c>
    </row>
    <row r="27" ht="62" customHeight="1">
      <c r="A27" s="18" t="inlineStr">
        <is>
          <t>A11Y-05</t>
        </is>
      </c>
      <c r="B27" s="19" t="inlineStr">
        <is>
          <t>6. Accessibilité</t>
        </is>
      </c>
      <c r="C27" s="20" t="inlineStr">
        <is>
          <t>Boutons de suppression de filtre à 18 × 18 px</t>
        </is>
      </c>
      <c r="D27" s="21" t="inlineStr">
        <is>
          <t>Majeur</t>
        </is>
      </c>
      <c r="E27" s="26" t="inlineStr">
        <is>
          <t>Corrigé</t>
        </is>
      </c>
      <c r="F27" s="20" t="inlineStr">
        <is>
          <t>frontend/css/hangar.css:151 et favorites.css:272 — .remove-filter-btn passe de 18 × 18 à 28 × 28 px.</t>
        </is>
      </c>
      <c r="G27" s="20" t="inlineStr">
        <is>
          <t>frontend/css/hangar.css</t>
        </is>
      </c>
      <c r="H27" s="19" t="inlineStr">
        <is>
          <t>151 (et favorites.css:272)</t>
        </is>
      </c>
      <c r="I27" s="20" t="inlineStr">
        <is>
          <t>Sous le minimum de 24 × 24 px du critère 2.5.8, nouveau en WCAG 2.2. Aucune des exceptions ne s'applique : ce n'est ni un lien en ligne, ni un contrôle natif du navigateur.</t>
        </is>
      </c>
      <c r="J27" s="20" t="inlineStr">
        <is>
          <t>Cible trop petite au doigt et pour les utilisateurs à motricité réduite, sur une action fréquente (retirer un filtre).</t>
        </is>
      </c>
      <c r="K27" s="20" t="inlineStr">
        <is>
          <t>Porter à 28 × 28 px, comme .close-dropdown (hangar.css:171) qui est déjà conforme.</t>
        </is>
      </c>
      <c r="L27" s="19" t="inlineStr">
        <is>
          <t>S</t>
        </is>
      </c>
      <c r="M27" s="19" t="n">
        <v>9</v>
      </c>
      <c r="N27" s="20" t="inlineStr">
        <is>
          <t>.page-hangar .remove-filter-btn { … width: 18px; height: 18px; … } — vrai &lt;button&gt; généré par js/hangar/filters.js:81 et js/favorites.js:385, sans padding compensatoire</t>
        </is>
      </c>
    </row>
    <row r="28" ht="62" customHeight="1">
      <c r="A28" s="18" t="inlineStr">
        <is>
          <t>ARCH-01</t>
        </is>
      </c>
      <c r="B28" s="19" t="inlineStr">
        <is>
          <t>1. Architecture &amp; structure</t>
        </is>
      </c>
      <c r="C28" s="20" t="inlineStr">
        <is>
          <t>slugify() est dupliqué caractère pour caractère entre le SSR et utils/url.js</t>
        </is>
      </c>
      <c r="D28" s="21" t="inlineStr">
        <is>
          <t>Majeur</t>
        </is>
      </c>
      <c r="E28" s="26" t="inlineStr">
        <is>
          <t>Corrigé</t>
        </is>
      </c>
      <c r="F28" s="20" t="inlineStr">
        <is>
          <t>backend/routes/details-ssr.js — les copies locales de slugify() et idFromSlug() sont supprimées au profit de require('../utils/url'). Les URL canoniques des 383 fiches ont maintenant une source unique.</t>
        </is>
      </c>
      <c r="G28" s="20" t="inlineStr">
        <is>
          <t>backend/routes/details-ssr.js</t>
        </is>
      </c>
      <c r="H28" s="19" t="inlineStr">
        <is>
          <t>29-35</t>
        </is>
      </c>
      <c r="I28" s="20" t="inlineStr">
        <is>
          <t>Les URL canoniques SEO des 383 fiches sont produites par une copie de la fonction, pas par la source commune. Le même algorithme est d'ailleurs réimplémenté deux fois de plus côté frontend (details/data.js:5-12 et shared/card.js:84-91).</t>
        </is>
      </c>
      <c r="J28" s="20" t="inlineStr">
        <is>
          <t>Une correction du slug dans utils/url.js ne se propagerait pas au SSR : divergence silencieuse entre l'URL générée et l'URL attendue, donc 404 ou duplication d'URL côté moteur.</t>
        </is>
      </c>
      <c r="K28" s="20" t="inlineStr">
        <is>
          <t>Faire pointer details-ssr.js vers utils/url.js ; centraliser la version frontend dans shared/.</t>
        </is>
      </c>
      <c r="L28" s="19" t="inlineStr">
        <is>
          <t>S</t>
        </is>
      </c>
      <c r="M28" s="19" t="n">
        <v>9</v>
      </c>
      <c r="N28" s="20" t="inlineStr">
        <is>
          <t>Les deux implémentations sont identiques (backend/utils/url.js:21-27 et details-ssr.js:29-35). details-ssr.js ne fait aucun require('../utils/url') — vérifié sur la liste de ses require (lignes 11-14).</t>
        </is>
      </c>
    </row>
    <row r="29" ht="62" customHeight="1">
      <c r="A29" s="18" t="inlineStr">
        <is>
          <t>A11Y-06</t>
        </is>
      </c>
      <c r="B29" s="19" t="inlineStr">
        <is>
          <t>6. Accessibilité</t>
        </is>
      </c>
      <c r="C29" s="20" t="inlineStr">
        <is>
          <t>Deux animations en boucle infinie sans garde prefers-reduced-motion</t>
        </is>
      </c>
      <c r="D29" s="21" t="inlineStr">
        <is>
          <t>Majeur</t>
        </is>
      </c>
      <c r="E29" s="26" t="inlineStr">
        <is>
          <t>Corrigé</t>
        </is>
      </c>
      <c r="F29" s="20" t="inlineStr">
        <is>
          <t>frontend/css/cookies.css et login.css — blocs @media (prefers-reduced-motion: reduce) ajoutés, neutralisant l'icône rebondissante du bandeau et le clignotement des points du radar.</t>
        </is>
      </c>
      <c r="G29" s="20" t="inlineStr">
        <is>
          <t>frontend/css/cookies.css</t>
        </is>
      </c>
      <c r="H29" s="19" t="inlineStr">
        <is>
          <t>62 (et login.css:95)</t>
        </is>
      </c>
      <c r="I29" s="20" t="inlineStr">
        <is>
          <t>Le reste du projet couvre pourtant bien cette préférence (15 feuilles la respectent). Ces deux animations démarrent seules, durent indéfiniment et s'affichent à côté du contenu principal.</t>
        </is>
      </c>
      <c r="J29" s="20" t="inlineStr">
        <is>
          <t>Gêne pour les personnes sensibles au mouvement. Échec WCAG 2.2.2, niveau A.</t>
        </is>
      </c>
      <c r="K29" s="20" t="inlineStr">
        <is>
          <t>@media (prefers-reduced-motion: reduce) { .cookie-icon, .radar-dot { animation: none; } }</t>
        </is>
      </c>
      <c r="L29" s="19" t="inlineStr">
        <is>
          <t>S</t>
        </is>
      </c>
      <c r="M29" s="19" t="n">
        <v>10</v>
      </c>
      <c r="N29" s="20" t="inlineStr">
        <is>
          <t>cookies.css:62 : animation: bounce 2s infinite; (icône du bandeau, affiché sur toutes les pages tant que le consentement n'est pas donné) ; login.css:95 : animation: dotBlink 3s ease-in-out infinite; — grep prefers-reduced-motion : 0 occurrence dans ces deux feuilles</t>
        </is>
      </c>
    </row>
    <row r="30" ht="62" customHeight="1">
      <c r="A30" s="18" t="inlineStr">
        <is>
          <t>CSS-01</t>
        </is>
      </c>
      <c r="B30" s="19" t="inlineStr">
        <is>
          <t>3. CSS &amp; design system</t>
        </is>
      </c>
      <c r="C30" s="20" t="inlineStr">
        <is>
          <t>style-hero.css est toujours empaqueté alors que sa structure a disparu</t>
        </is>
      </c>
      <c r="D30" s="21" t="inlineStr">
        <is>
          <t>Majeur</t>
        </is>
      </c>
      <c r="E30" s="26" t="inlineStr">
        <is>
          <t>Corrigé</t>
        </is>
      </c>
      <c r="F30" s="20" t="inlineStr">
        <is>
          <t>frontend/css/style-hero.css purgée par analyse sélecteur par sélecteur : 8,8 → 4,3 Ko, 24 règles mortes retirées. Le JS mort associé (.scroll-indicator, absent de tout HTML) est supprimé de script.js.</t>
        </is>
      </c>
      <c r="G30" s="20" t="inlineStr">
        <is>
          <t>scripts/build-css.js</t>
        </is>
      </c>
      <c r="H30" s="19" t="inlineStr">
        <is>
          <t>44</t>
        </is>
      </c>
      <c r="I30" s="20" t="inlineStr">
        <is>
          <t>La feuille (344 lignes) sert l'ancienne structure de hero, remplacée par hero-split. Quelques sélecteurs subsistent ailleurs (hero-content, hero-badge : une occurrence chacun), donc la suppression sèche est à écarter — c'est une passe de purge qu'il faut.</t>
        </is>
      </c>
      <c r="J30" s="20" t="inlineStr">
        <is>
          <t>Poids mort expédié à chaque chargement de l'accueil, et confusion de maintenance : deux systèmes de hero cohabitent dans le bundle.</t>
        </is>
      </c>
      <c r="K30" s="20" t="inlineStr">
        <is>
          <t>Purger les sélecteurs morts, déplacer les deux ou trois encore utilisés vers la feuille appropriée, puis retirer la ligne 44 de build-css.js.</t>
        </is>
      </c>
      <c r="L30" s="19" t="inlineStr">
        <is>
          <t>M</t>
        </is>
      </c>
      <c r="M30" s="19" t="n">
        <v>10</v>
      </c>
      <c r="N30" s="20" t="inlineStr">
        <is>
          <t>'style-hero.css' figure toujours dans le bundle home.min.css. Or grep sur frontend/*.html et frontend/js (hors dist) : hero-title 0, hero-video 0, hero-hud-grid 0, btn-outline 0. index.html:104 utilise la structure hero-split, qui a sa propre feuille (style-hero-split.css, ligne 47 du même bundle).</t>
        </is>
      </c>
    </row>
    <row r="31" ht="62" customHeight="1">
      <c r="A31" s="18" t="inlineStr">
        <is>
          <t>PERF-05</t>
        </is>
      </c>
      <c r="B31" s="19" t="inlineStr">
        <is>
          <t>5. Performance</t>
        </is>
      </c>
      <c r="C31" s="20" t="inlineStr">
        <is>
          <t>Le sous-ensemble d'icônes pèse 79 % du bundle partagé</t>
        </is>
      </c>
      <c r="D31" s="23" t="inlineStr">
        <is>
          <t>Mineur</t>
        </is>
      </c>
      <c r="E31" s="26" t="inlineStr">
        <is>
          <t>Corrigé</t>
        </is>
      </c>
      <c r="F31" s="20" t="inlineStr">
        <is>
          <t>scripts/build-js.js — icons.js sort du bundle commun vers icons.min.js, chargé en defer sur les 16 pages. app.min.js : 111,6 → 27,5 Ko. Choix validé par A/B Lighthouse (2 exécutions par variante) : séparé donne 4207 ms de LCP contre 4430 ms fusionné.</t>
        </is>
      </c>
      <c r="G31" s="20" t="inlineStr">
        <is>
          <t>frontend/js/icons.js</t>
        </is>
      </c>
      <c r="H31" s="19" t="inlineStr">
        <is>
          <t>—</t>
        </is>
      </c>
      <c r="I31" s="20" t="inlineStr">
        <is>
          <t>Les 164 icônes SVG sont embarquées dans le bundle commun, alors qu'aucune page ne les utilise toutes.</t>
        </is>
      </c>
      <c r="J31" s="20" t="inlineStr">
        <is>
          <t>Poids constant sur le chemin critique de chaque page du site.</t>
        </is>
      </c>
      <c r="K31" s="20" t="inlineStr">
        <is>
          <t>Sortir icons.js du bundle commun et le charger en différé, ou générer un sous-ensemble par page (build-icons.py connaît déjà les classes utilisées).</t>
        </is>
      </c>
      <c r="L31" s="19" t="inlineStr">
        <is>
          <t>M</t>
        </is>
      </c>
      <c r="M31" s="19" t="n">
        <v>11</v>
      </c>
      <c r="N31" s="20" t="inlineStr">
        <is>
          <t>icons.js = 87,8 Ko de source ; app.min.js = 111,6 Ko minifié, chargé sur toutes les pages</t>
        </is>
      </c>
    </row>
    <row r="32" ht="62" customHeight="1">
      <c r="A32" s="18" t="inlineStr">
        <is>
          <t>SEC-03</t>
        </is>
      </c>
      <c r="B32" s="19" t="inlineStr">
        <is>
          <t>7. Sécurité</t>
        </is>
      </c>
      <c r="C32" s="20" t="inlineStr">
        <is>
          <t>Comparaison non constante du jeton de supervision</t>
        </is>
      </c>
      <c r="D32" s="23" t="inlineStr">
        <is>
          <t>Mineur</t>
        </is>
      </c>
      <c r="E32" s="26" t="inlineStr">
        <is>
          <t>Corrigé</t>
        </is>
      </c>
      <c r="F32" s="20" t="inlineStr">
        <is>
          <t>backend/routes/monitoring.js — helper tokenEgal() : hachage SHA-256 des deux jetons puis crypto.timingSafeEqual. Appliqué aux deux routes (/api/metrics et /api/status).</t>
        </is>
      </c>
      <c r="G32" s="20" t="inlineStr">
        <is>
          <t>backend/routes/monitoring.js</t>
        </is>
      </c>
      <c r="H32" s="19" t="inlineStr">
        <is>
          <t>65 et 83</t>
        </is>
      </c>
      <c r="I32" s="20" t="inlineStr">
        <is>
          <t>GET /api/metrics et GET /api/status comparent METRICS_TOKEN avec !==, sensible aux attaques temporelles.</t>
        </is>
      </c>
      <c r="J32" s="20" t="inlineStr">
        <is>
          <t>Surface faible (endpoints de supervision), jeton théoriquement devinable octet par octet.</t>
        </is>
      </c>
      <c r="K32" s="20" t="inlineStr">
        <is>
          <t>crypto.timingSafeEqual, avec égalisation préalable des longueurs.</t>
        </is>
      </c>
      <c r="L32" s="19" t="inlineStr">
        <is>
          <t>S</t>
        </is>
      </c>
      <c r="M32" s="19" t="n">
        <v>12</v>
      </c>
      <c r="N32" s="20" t="inlineStr">
        <is>
          <t>if (provided !== token) {</t>
        </is>
      </c>
    </row>
    <row r="33" ht="62" customHeight="1">
      <c r="A33" s="18" t="inlineStr">
        <is>
          <t>PERF-03</t>
        </is>
      </c>
      <c r="B33" s="19" t="inlineStr">
        <is>
          <t>5. Performance</t>
        </is>
      </c>
      <c r="C33" s="20" t="inlineStr">
        <is>
          <t>Le préchargement d'image du &lt;head&gt; ne vise pas l'élément LCP</t>
        </is>
      </c>
      <c r="D33" s="23" t="inlineStr">
        <is>
          <t>Mineur</t>
        </is>
      </c>
      <c r="E33" s="26" t="inlineStr">
        <is>
          <t>Corrigé</t>
        </is>
      </c>
      <c r="F33" s="20" t="inlineStr">
        <is>
          <t>frontend/index.html:41 — le &lt;link rel=preload&gt; de rafale.avif est retiré, avec un commentaire expliquant pourquoi l'élément LCP de cette page ne peut pas être préchargé : il dépend d'un appel API.</t>
        </is>
      </c>
      <c r="G33" s="20" t="inlineStr">
        <is>
          <t>frontend/index.html</t>
        </is>
      </c>
      <c r="H33" s="19" t="inlineStr">
        <is>
          <t>41</t>
        </is>
      </c>
      <c r="I33" s="20" t="inlineStr">
        <is>
          <t>La priorité réseau est donnée à une image qui n'est pas celle qui décide du LCP.</t>
        </is>
      </c>
      <c r="J33" s="20" t="inlineStr">
        <is>
          <t>Bande passante prioritaire mal allouée au premier rendu.</t>
        </is>
      </c>
      <c r="K33" s="20" t="inlineStr">
        <is>
          <t>À traiter avec PERF-02 ; le LCP dépendant d'un appel API, viser d'abord la conversion AVIF.</t>
        </is>
      </c>
      <c r="L33" s="19" t="inlineStr">
        <is>
          <t>S</t>
        </is>
      </c>
      <c r="M33" s="19" t="n">
        <v>13</v>
      </c>
      <c r="N33" s="20" t="inlineStr">
        <is>
          <t>&lt;link rel="preload" as="image" href="/assets/airplanes/rafale.avif" … fetchpriority="high"&gt; — or rafale.avif est l'image de la première carte « Avions en vedette » (l.202), plus bas dans la page</t>
        </is>
      </c>
    </row>
    <row r="34" ht="62" customHeight="1">
      <c r="A34" s="18" t="inlineStr">
        <is>
          <t>SEO-01</t>
        </is>
      </c>
      <c r="B34" s="19" t="inlineStr">
        <is>
          <t>8. SEO technique</t>
        </is>
      </c>
      <c r="C34" s="20" t="inlineStr">
        <is>
          <t>Les trois hreflang des fiches pointent vers une URL identique</t>
        </is>
      </c>
      <c r="D34" s="23" t="inlineStr">
        <is>
          <t>Mineur</t>
        </is>
      </c>
      <c r="E34" s="26" t="inlineStr">
        <is>
          <t>Corrigé</t>
        </is>
      </c>
      <c r="F34" s="20" t="inlineStr">
        <is>
          <t>backend/routes/details-ssr.js:221-233 — les hreflang fr et en reçoivent ?lang=fr et ?lang=en, x-default gardant l'URL nue. Test de non-régression ajouté.</t>
        </is>
      </c>
      <c r="G34" s="20" t="inlineStr">
        <is>
          <t>backend/routes/details-ssr.js</t>
        </is>
      </c>
      <c r="H34" s="19" t="inlineStr">
        <is>
          <t>221-233</t>
        </is>
      </c>
      <c r="I34" s="20" t="inlineStr">
        <is>
          <t>Sur le type de page le plus nombreux du site (383 fiches), le balisage multilingue n'apporte aucune information exploitable.</t>
        </is>
      </c>
      <c r="J34" s="20" t="inlineStr">
        <is>
          <t>Balisage inerte : le moteur ne peut pas distinguer une version FR d'une version EN puisque l'URL est la même.</t>
        </is>
      </c>
      <c r="K34" s="20" t="inlineStr">
        <is>
          <t>Injecter ?lang=fr et ?lang=en dans les hreflang de /details, comme sur les pages statiques.</t>
        </is>
      </c>
      <c r="L34" s="19" t="inlineStr">
        <is>
          <t>S</t>
        </is>
      </c>
      <c r="M34" s="19" t="n">
        <v>13</v>
      </c>
      <c r="N34" s="20" t="inlineStr">
        <is>
          <t>Les trois remplacements (hreflang fr, en, x-default) reçoivent la même variable url, sans ?lang= — le commentaire du code l'assume explicitement. Les pages statiques, elles, distinguent bien ?lang=fr / ?lang=en (index.html:36-38).</t>
        </is>
      </c>
    </row>
    <row r="35" ht="62" customHeight="1">
      <c r="A35" s="18" t="inlineStr">
        <is>
          <t>PERF-04</t>
        </is>
      </c>
      <c r="B35" s="19" t="inlineStr">
        <is>
          <t>5. Performance</t>
        </is>
      </c>
      <c r="C35" s="20" t="inlineStr">
        <is>
          <t>Cache navigateur d'un jour sur des URL déjà versionnées</t>
        </is>
      </c>
      <c r="D35" s="23" t="inlineStr">
        <is>
          <t>Mineur</t>
        </is>
      </c>
      <c r="E35" s="26" t="inlineStr">
        <is>
          <t>Corrigé</t>
        </is>
      </c>
      <c r="F35" s="20" t="inlineStr">
        <is>
          <t>backend/app.js — les .css et .js, dont l'URL porte déjà ?v=&lt;version&gt;, passent en max-age=31536000, immutable ; les images gardent la journée. Lighthouse : ressources à cache court 21 → 10. Trois tests d'en-têtes mis à jour.</t>
        </is>
      </c>
      <c r="G35" s="20" t="inlineStr">
        <is>
          <t>backend/app.js</t>
        </is>
      </c>
      <c r="H35" s="19" t="inlineStr">
        <is>
          <t>303</t>
        </is>
      </c>
      <c r="I35" s="20" t="inlineStr">
        <is>
          <t>Le commentaire du code qualifie ces fichiers de « statiques fingerprintables », mais ils n'obtiennent qu'un jour de cache.</t>
        </is>
      </c>
      <c r="J35" s="20" t="inlineStr">
        <is>
          <t>Revalidation quotidienne inutile de 111 Ko d'app.min.js et des feuilles de style pour les visiteurs récurrents.</t>
        </is>
      </c>
      <c r="K35" s="20" t="inlineStr">
        <is>
          <t>Servir les fichiers portant ?v= avec max-age=31536000, immutable ; conserver le cache court pour les assets non versionnés.</t>
        </is>
      </c>
      <c r="L35" s="19" t="inlineStr">
        <is>
          <t>S</t>
        </is>
      </c>
      <c r="M35" s="19" t="n">
        <v>14</v>
      </c>
      <c r="N35" s="20" t="inlineStr">
        <is>
          <t>res.setHeader('Cache-Control', 'public, max-age=86400, s-maxage=604800'); — Lighthouse : « uses-long-cache-ttl : 21 resources found ». Les URL servies portent pourtant ?v=4.9.0 (vérifié dans le HTML rendu).</t>
        </is>
      </c>
    </row>
    <row r="36" ht="62" customHeight="1">
      <c r="A36" s="18" t="inlineStr">
        <is>
          <t>SEC-05</t>
        </is>
      </c>
      <c r="B36" s="19" t="inlineStr">
        <is>
          <t>7. Sécurité</t>
        </is>
      </c>
      <c r="C36" s="20" t="inlineStr">
        <is>
          <t>La CSP autorise picsum.photos, qui n'est plus utilisé nulle part</t>
        </is>
      </c>
      <c r="D36" s="23" t="inlineStr">
        <is>
          <t>Mineur</t>
        </is>
      </c>
      <c r="E36" s="26" t="inlineStr">
        <is>
          <t>Corrigé</t>
        </is>
      </c>
      <c r="F36" s="20" t="inlineStr">
        <is>
          <t>backend/app.js:80 — picsum.photos et fastly.picsum.photos retirés de la directive img-src.</t>
        </is>
      </c>
      <c r="G36" s="20" t="inlineStr">
        <is>
          <t>backend/app.js</t>
        </is>
      </c>
      <c r="H36" s="19" t="inlineStr">
        <is>
          <t>80</t>
        </is>
      </c>
      <c r="I36" s="20" t="inlineStr">
        <is>
          <t>Reliquat de développement dans la politique de sécurité du contenu.</t>
        </is>
      </c>
      <c r="J36" s="20" t="inlineStr">
        <is>
          <t>Élargit inutilement la surface autorisée : une injection d'URL d'image pourrait exfiltrer vers un domaine tiers déjà autorisé.</t>
        </is>
      </c>
      <c r="K36" s="20" t="inlineStr">
        <is>
          <t>Retirer les deux domaines picsum de img-src.</t>
        </is>
      </c>
      <c r="L36" s="19" t="inlineStr">
        <is>
          <t>S</t>
        </is>
      </c>
      <c r="M36" s="19" t="n">
        <v>15</v>
      </c>
      <c r="N36" s="20" t="inlineStr">
        <is>
          <t>"img-src 'self' https://flagcdn.com … https://picsum.photos https://fastly.picsum.photos data:" — grep « picsum » sur frontend/, backend/routes/, backend/db_backup/ : 0 occurrence</t>
        </is>
      </c>
    </row>
    <row r="37" ht="62" customHeight="1">
      <c r="A37" s="18" t="inlineStr">
        <is>
          <t>A11Y-07</t>
        </is>
      </c>
      <c r="B37" s="19" t="inlineStr">
        <is>
          <t>6. Accessibilité</t>
        </is>
      </c>
      <c r="C37" s="20" t="inlineStr">
        <is>
          <t>Sauts de niveaux de titres sur quatre pages</t>
        </is>
      </c>
      <c r="D37" s="23" t="inlineStr">
        <is>
          <t>Mineur</t>
        </is>
      </c>
      <c r="E37" s="26" t="inlineStr">
        <is>
          <t>Corrigé</t>
        </is>
      </c>
      <c r="F37" s="20" t="inlineStr">
        <is>
          <t>hangar.html (3 titres de filtre h3 → h2), details.html (3 h4 → h3), cgu.html (h3 d'intro → h2, 6 h4 → h3), politique-confidentialite.html (h3 d'intro → h2, 21 h4 → h3), 404.html (titre de section masqué en .sr-only). Contrôle automatisé : plus aucun saut de niveau sur les 18 pages.</t>
        </is>
      </c>
      <c r="G37" s="20" t="inlineStr">
        <is>
          <t>frontend/cgu.html</t>
        </is>
      </c>
      <c r="H37" s="19" t="inlineStr">
        <is>
          <t>97 → 119 (idem politique-confidentialite.html, hangar.html:115→145, details.html:204→205)</t>
        </is>
      </c>
      <c r="I37" s="20" t="inlineStr">
        <is>
          <t>La hiérarchie annoncée aux technologies d'assistance ne reflète pas l'imbrication réelle du contenu.</t>
        </is>
      </c>
      <c r="J37" s="20" t="inlineStr">
        <is>
          <t>Un utilisateur qui navigue de titre en titre ne peut pas déduire la structure. Échec WCAG 1.3.1.</t>
        </is>
      </c>
      <c r="K37" s="20" t="inlineStr">
        <is>
          <t>Reclasser les h3/h4 orphelins au niveau immédiatement inférieur au titre précédent.</t>
        </is>
      </c>
      <c r="L37" s="19" t="inlineStr">
        <is>
          <t>M</t>
        </is>
      </c>
      <c r="M37" s="19" t="n">
        <v>17</v>
      </c>
      <c r="N37" s="20" t="inlineStr">
        <is>
          <t>cgu.html : &lt;h1&gt; l.97, puis &lt;h3&gt; l.119, le premier &lt;h2&gt; n'arrivant qu'à la l.126. hangar.html : &lt;h1&gt; l.115 puis trois &lt;h3&gt; (l.145, 149, 153), premier &lt;h2&gt; à la l.202 (modale). details.html : &lt;h2&gt; « Dates Clés » l.204 suivi directement de &lt;h4&gt; l.205-207.</t>
        </is>
      </c>
    </row>
    <row r="38" ht="62" customHeight="1">
      <c r="A38" s="18" t="inlineStr">
        <is>
          <t>PWA-01</t>
        </is>
      </c>
      <c r="B38" s="19" t="inlineStr">
        <is>
          <t>11. Mobile &amp; PWA</t>
        </is>
      </c>
      <c r="C38" s="20" t="inlineStr">
        <is>
          <t>Le manifeste PWA annonce 107 fiches au lieu de 383</t>
        </is>
      </c>
      <c r="D38" s="23" t="inlineStr">
        <is>
          <t>Mineur</t>
        </is>
      </c>
      <c r="E38" s="26" t="inlineStr">
        <is>
          <t>Corrigé</t>
        </is>
      </c>
      <c r="F38" s="20" t="inlineStr">
        <is>
          <t>frontend/manifest.webmanifest:5 — le chiffre est retiré de la description plutôt que corrigé, pour qu'il ne périme plus à chaque lot de fiches.</t>
        </is>
      </c>
      <c r="G38" s="20" t="inlineStr">
        <is>
          <t>frontend/manifest.webmanifest</t>
        </is>
      </c>
      <c r="H38" s="19" t="inlineStr">
        <is>
          <t>5</t>
        </is>
      </c>
      <c r="I38" s="20" t="inlineStr">
        <is>
          <t>Le catalogue compte 383 fiches depuis la v4.7.0. Cette description s'affiche au moment de l'installation de l'application.</t>
        </is>
      </c>
      <c r="J38" s="20" t="inlineStr">
        <is>
          <t>Information fausse à l'instant précis où l'utilisateur décide d'installer.</t>
        </is>
      </c>
      <c r="K38" s="20" t="inlineStr">
        <is>
          <t>Corriger la description, et envisager de retirer le chiffre pour éviter la péremption.</t>
        </is>
      </c>
      <c r="L38" s="19" t="inlineStr">
        <is>
          <t>S</t>
        </is>
      </c>
      <c r="M38" s="19" t="n">
        <v>17</v>
      </c>
      <c r="N38" s="20" t="inlineStr">
        <is>
          <t>"description": "Encyclopédie de l'aviation militaire : 107 fiches détaillées, chronologie cinématographique, hangar interactif."</t>
        </is>
      </c>
    </row>
    <row r="39" ht="62" customHeight="1">
      <c r="A39" s="18" t="inlineStr">
        <is>
          <t>A11Y-08</t>
        </is>
      </c>
      <c r="B39" s="19" t="inlineStr">
        <is>
          <t>6. Accessibilité</t>
        </is>
      </c>
      <c r="C39" s="20" t="inlineStr">
        <is>
          <t>Un &lt;h2&gt; décoratif précède le &lt;h1&gt; sur la page de connexion</t>
        </is>
      </c>
      <c r="D39" s="23" t="inlineStr">
        <is>
          <t>Mineur</t>
        </is>
      </c>
      <c r="E39" s="26" t="inlineStr">
        <is>
          <t>Corrigé</t>
        </is>
      </c>
      <c r="F39" s="20" t="inlineStr">
        <is>
          <t>frontend/login.html:118 — le titre décoratif du panneau visuel passe de &lt;h2&gt; à &lt;p&gt;, la classe et donc le style restant identiques.</t>
        </is>
      </c>
      <c r="G39" s="20" t="inlineStr">
        <is>
          <t>frontend/login.html</t>
        </is>
      </c>
      <c r="H39" s="19" t="inlineStr">
        <is>
          <t>118</t>
        </is>
      </c>
      <c r="I39" s="20" t="inlineStr">
        <is>
          <t>Le premier titre rencontré par un lecteur d'écran est un h2 appartenant au panneau visuel décoratif.</t>
        </is>
      </c>
      <c r="J39" s="20" t="inlineStr">
        <is>
          <t>Hiérarchie sans racine cohérente en tête de page.</t>
        </is>
      </c>
      <c r="K39" s="20" t="inlineStr">
        <is>
          <t>Passer .visual-title en &lt;p&gt; ou &lt;span&gt; stylé : c'est un ornement, pas un titre de section.</t>
        </is>
      </c>
      <c r="L39" s="19" t="inlineStr">
        <is>
          <t>S</t>
        </is>
      </c>
      <c r="M39" s="19" t="n">
        <v>18</v>
      </c>
      <c r="N39" s="20" t="inlineStr">
        <is>
          <t>&lt;h2 class="visual-title"&gt;Vol d'Histoire&lt;/h2&gt; (l.118) apparaît avant &lt;h1 data-i18n="login.login_title"&gt;Identification&lt;/h1&gt; (l.177)</t>
        </is>
      </c>
    </row>
    <row r="40" ht="62" customHeight="1">
      <c r="A40" s="18" t="inlineStr">
        <is>
          <t>SEO-02</t>
        </is>
      </c>
      <c r="B40" s="19" t="inlineStr">
        <is>
          <t>8. SEO technique</t>
        </is>
      </c>
      <c r="C40" s="20" t="inlineStr">
        <is>
          <t>datePublished du JSON-LD contient l'année de mise en service de l'avion</t>
        </is>
      </c>
      <c r="D40" s="23" t="inlineStr">
        <is>
          <t>Mineur</t>
        </is>
      </c>
      <c r="E40" s="26" t="inlineStr">
        <is>
          <t>Corrigé</t>
        </is>
      </c>
      <c r="F40" s="20" t="inlineStr">
        <is>
          <t>backend/routes/details-ssr.js — datePublished vient de airplanes.created_at et dateModified de updated_at (colonnes ajoutées à la requête SSR) au lieu de l'année de mise en service de l'appareil. Deux tests ajoutés, dont le cas sans created_at.</t>
        </is>
      </c>
      <c r="G40" s="20" t="inlineStr">
        <is>
          <t>backend/routes/details-ssr.js</t>
        </is>
      </c>
      <c r="H40" s="19" t="inlineStr">
        <is>
          <t>170</t>
        </is>
      </c>
      <c r="I40" s="20" t="inlineStr">
        <is>
          <t>Le champ « date de publication » de l'Article est rempli avec une donnée métier de l'appareil, pas avec la date de rédaction de la fiche.</t>
        </is>
      </c>
      <c r="J40" s="20" t="inlineStr">
        <is>
          <t>Un moteur peut afficher « 1955 » comme date de publication d'une fiche écrite en 2026 : signal de fraîcheur dégradé et information trompeuse.</t>
        </is>
      </c>
      <c r="K40" s="20" t="inlineStr">
        <is>
          <t>Omettre datePublished (facultatif pour Article) ou le remplir avec airplanes.created_at / updated_at, qui existent en base.</t>
        </is>
      </c>
      <c r="L40" s="19" t="inlineStr">
        <is>
          <t>S</t>
        </is>
      </c>
      <c r="M40" s="19" t="n">
        <v>18</v>
      </c>
      <c r="N40" s="20" t="inlineStr">
        <is>
          <t>if (year) articleLd.datePublished = `${year}-01-01`; où year = new Date(aircraft.date_operationel).getFullYear() (l.68-70)</t>
        </is>
      </c>
    </row>
    <row r="41" ht="62" customHeight="1">
      <c r="A41" s="18" t="inlineStr">
        <is>
          <t>RGPD-04</t>
        </is>
      </c>
      <c r="B41" s="19" t="inlineStr">
        <is>
          <t>9. Conformité RGPD</t>
        </is>
      </c>
      <c r="C41" s="20" t="inlineStr">
        <is>
          <t>L'inventaire des cookies ne mentionne ni hCaptcha ni Sentry</t>
        </is>
      </c>
      <c r="D41" s="23" t="inlineStr">
        <is>
          <t>Mineur</t>
        </is>
      </c>
      <c r="E41" s="26" t="inlineStr">
        <is>
          <t>Corrigé</t>
        </is>
      </c>
      <c r="F41" s="20" t="inlineStr">
        <is>
          <t>frontend/locales/{fr,en}.json — ligne hCaptcha (Intuition Machines, Inc.) ajoutée au tableau d'inventaire des cookies, dans les deux langues.</t>
        </is>
      </c>
      <c r="G41" s="20" t="inlineStr">
        <is>
          <t>frontend/locales/fr.json</t>
        </is>
      </c>
      <c r="H41" s="19" t="inlineStr">
        <is>
          <t>1218 (legal.pc_sec6_body)</t>
        </is>
      </c>
      <c r="I41" s="20" t="inlineStr">
        <is>
          <t>Le texte introductif promet la « liste exhaustive des cookies et traceurs déposés ou susceptibles de l'être ». Les deux sous-traitants sont nommés ailleurs (pc_sec5_body) mais absents du tableau technique.</t>
        </is>
      </c>
      <c r="J41" s="20" t="inlineStr">
        <is>
          <t>Incohérence interne entre la promesse d'exhaustivité et le contenu du tableau.</t>
        </is>
      </c>
      <c r="K41" s="20" t="inlineStr">
        <is>
          <t>Ajouter une ligne hCaptcha, ou préciser que le tableau ne couvre que les cookies internes.</t>
        </is>
      </c>
      <c r="L41" s="19" t="inlineStr">
        <is>
          <t>S</t>
        </is>
      </c>
      <c r="M41" s="19" t="n">
        <v>19</v>
      </c>
      <c r="N41" s="20" t="inlineStr">
        <is>
          <t>Le tableau liste refreshToken, voldhistoire_cookie_consent, vol-histoire-lang, vh_hangar_view, vh_compare_ids, vh-onboarding-done, _ga, _ga_&lt;ID&gt;, _gid — hCaptcha (chargé sans condition par frontend/js/captcha.js:37) et Sentry n'y figurent pas.</t>
        </is>
      </c>
    </row>
    <row r="42" ht="62" customHeight="1">
      <c r="A42" s="18" t="inlineStr">
        <is>
          <t>CSS-02</t>
        </is>
      </c>
      <c r="B42" s="19" t="inlineStr">
        <is>
          <t>3. CSS &amp; design system</t>
        </is>
      </c>
      <c r="C42" s="20" t="inlineStr">
        <is>
          <t>Le bloc d'arrière-plan flouté est dupliqué à l'identique dans cinq feuilles</t>
        </is>
      </c>
      <c r="D42" s="23" t="inlineStr">
        <is>
          <t>Mineur</t>
        </is>
      </c>
      <c r="E42" s="26" t="inlineStr">
        <is>
          <t>Corrigé</t>
        </is>
      </c>
      <c r="F42" s="20" t="inlineStr">
        <is>
          <t>frontend/css/shared-base.css — source unique du fond photographique flouté pour les cinq pages concernées ; les copies de details.css, favorites.css, legal.css, settings.css et hangar.css sont supprimées. Gain net 2,5 Ko.</t>
        </is>
      </c>
      <c r="G42" s="20" t="inlineStr">
        <is>
          <t>frontend/css/details.css</t>
        </is>
      </c>
      <c r="H42" s="19" t="inlineStr">
        <is>
          <t>203-219 (+ favorites.css:11, legal.css:7, settings.css:9, hangar.css:18)</t>
        </is>
      </c>
      <c r="I42" s="20" t="inlineStr">
        <is>
          <t>Aucune source unique pour un effet visuel partagé par cinq pages.</t>
        </is>
      </c>
      <c r="J42" s="20" t="inlineStr">
        <is>
          <t>Toute retouche doit être répétée cinq fois ; l'écart constaté montre que ça n'est déjà plus fait.</t>
        </is>
      </c>
      <c r="K42" s="20" t="inlineStr">
        <is>
          <t>Extraire dans shared-base.css sous une classe unique, et supprimer les copies.</t>
        </is>
      </c>
      <c r="L42" s="19" t="inlineStr">
        <is>
          <t>S</t>
        </is>
      </c>
      <c r="M42" s="19" t="n">
        <v>19</v>
      </c>
      <c r="N42" s="20" t="inlineStr">
        <is>
          <t>La déclaration blur(30px) brightness(0.28) saturate(0.7) apparaît une fois dans chacune des cinq feuilles — ≈75 lignes dupliquées. La divergence a déjà commencé : legal.css et settings.css ajoutent background: transparent sur .hero-background, pas hangar.css ni favorites.css.</t>
        </is>
      </c>
    </row>
    <row r="43" ht="62" customHeight="1">
      <c r="A43" s="18" t="inlineStr">
        <is>
          <t>RGPD-05</t>
        </is>
      </c>
      <c r="B43" s="19" t="inlineStr">
        <is>
          <t>9. Conformité RGPD</t>
        </is>
      </c>
      <c r="C43" s="20" t="inlineStr">
        <is>
          <t>Le formulaire d'inscription n'a pas de mention RGPD de proximité</t>
        </is>
      </c>
      <c r="D43" s="23" t="inlineStr">
        <is>
          <t>Mineur</t>
        </is>
      </c>
      <c r="E43" s="26" t="inlineStr">
        <is>
          <t>Corrigé</t>
        </is>
      </c>
      <c r="F43" s="20" t="inlineStr">
        <is>
          <t>frontend/login.html — mention de finalité, durée et lien vers la politique sous le formulaire d'inscription, sur le modèle de celle du formulaire de contact. Clé login.register_rgpd_notice ajoutée en fr et en.</t>
        </is>
      </c>
      <c r="G43" s="20" t="inlineStr">
        <is>
          <t>frontend/login.html</t>
        </is>
      </c>
      <c r="H43" s="19" t="inlineStr">
        <is>
          <t>— (formulaire d'inscription)</t>
        </is>
      </c>
      <c r="I43" s="20" t="inlineStr">
        <is>
          <t>Le formulaire qui collecte les données les plus durables (email, mot de passe, nom) est le moins informatif ; celui qui collecte une donnée éphémère (contact) est correctement doté.</t>
        </is>
      </c>
      <c r="J43" s="20" t="inlineStr">
        <is>
          <t>Information de l'utilisateur incomplète au moment de la collecte.</t>
        </is>
      </c>
      <c r="K43" s="20" t="inlineStr">
        <is>
          <t>Ajouter une mention courte (finalité, durée, lien vers la politique) sous le bouton d'inscription, sur le modèle du formulaire de contact.</t>
        </is>
      </c>
      <c r="L43" s="19" t="inlineStr">
        <is>
          <t>S</t>
        </is>
      </c>
      <c r="M43" s="19" t="n">
        <v>20</v>
      </c>
      <c r="N43" s="20" t="inlineStr">
        <is>
          <t>Aucune occurrence de « rgpd » ou de mention de finalité près des champs ; contact.html:204 en a une (contact.form_rgpd_notice).</t>
        </is>
      </c>
    </row>
    <row r="44" ht="62" customHeight="1">
      <c r="A44" s="18" t="inlineStr">
        <is>
          <t>CSS-03</t>
        </is>
      </c>
      <c r="B44" s="19" t="inlineStr">
        <is>
          <t>3. CSS &amp; design system</t>
        </is>
      </c>
      <c r="C44" s="20" t="inlineStr">
        <is>
          <t>Deux systèmes d'empilement coexistent : tokens z-index et valeurs magiques</t>
        </is>
      </c>
      <c r="D44" s="23" t="inlineStr">
        <is>
          <t>Mineur</t>
        </is>
      </c>
      <c r="E44" s="26" t="inlineStr">
        <is>
          <t>Corrigé</t>
        </is>
      </c>
      <c r="F44" s="20" t="inlineStr">
        <is>
          <t>frontend/css/tokens.css — échelle complétée (--z-raised 900, --z-panel 999, --z-hud 5000, --z-overlay 9999). 15 valeurs littérales remplacées par le token de valeur strictement identique : aucun changement visuel.</t>
        </is>
      </c>
      <c r="G44" s="20" t="inlineStr">
        <is>
          <t>frontend/css/tokens.css</t>
        </is>
      </c>
      <c r="H44" s="19" t="inlineStr">
        <is>
          <t>255-258</t>
        </is>
      </c>
      <c r="I44" s="20" t="inlineStr">
        <is>
          <t>L'échelle documentée est court-circuitée dans la majorité des cas.</t>
        </is>
      </c>
      <c r="J44" s="20" t="inlineStr">
        <is>
          <t>Recouvrements imprévisibles — le projet en a déjà fait les frais en v4.8.0 avec la bannière de consentement passant devant la barre du comparateur.</t>
        </is>
      </c>
      <c r="K44" s="20" t="inlineStr">
        <is>
          <t>Remplacer progressivement les valeurs littérales par les tokens, en commençant par les modales et bandeaux.</t>
        </is>
      </c>
      <c r="L44" s="19" t="inlineStr">
        <is>
          <t>M</t>
        </is>
      </c>
      <c r="M44" s="19" t="n">
        <v>20</v>
      </c>
      <c r="N44" s="20" t="inlineStr">
        <is>
          <t>Les tokens existent (sticky 100 / header 1000 / dropdown 2000 / modal 10000) mais ne sont consommés que 9 fois. Plus de 70 déclarations z-index en valeurs littérales : 10000 et 9999 en dur, 5000 (timeline.css:55), 999 (favorites.css:254, hangar.css:164), 900 (hangar.css:340, timeline.css:805).</t>
        </is>
      </c>
    </row>
    <row r="45" ht="62" customHeight="1">
      <c r="A45" s="18" t="inlineStr">
        <is>
          <t>A11Y-09</t>
        </is>
      </c>
      <c r="B45" s="19" t="inlineStr">
        <is>
          <t>6. Accessibilité</t>
        </is>
      </c>
      <c r="C45" s="20" t="inlineStr">
        <is>
          <t>Landmark &lt;main&gt; absent sur les quatre pages d'authentification</t>
        </is>
      </c>
      <c r="D45" s="23" t="inlineStr">
        <is>
          <t>Mineur</t>
        </is>
      </c>
      <c r="E45" s="26" t="inlineStr">
        <is>
          <t>Corrigé</t>
        </is>
      </c>
      <c r="F45" s="20" t="inlineStr">
        <is>
          <t>check-email.html:162, forgot-password.html:152, reset-password.html:175, verify-email.html:124 — &lt;div id="main-content"&gt; devient &lt;main&gt;, fermetures ajustées.</t>
        </is>
      </c>
      <c r="G45" s="20" t="inlineStr">
        <is>
          <t>frontend/check-email.html</t>
        </is>
      </c>
      <c r="H45" s="19" t="inlineStr">
        <is>
          <t>162 (idem forgot-password:152, reset-password:175, verify-email:124)</t>
        </is>
      </c>
      <c r="I45" s="20" t="inlineStr">
        <is>
          <t>Le lien d'évitement fonctionne (la cible existe), mais la navigation par régions ne trouve pas de contenu principal.</t>
        </is>
      </c>
      <c r="J45" s="20" t="inlineStr">
        <is>
          <t>Gêne modérée pour les lecteurs d'écran, sur des pages de passage.</t>
        </is>
      </c>
      <c r="K45" s="20" t="inlineStr">
        <is>
          <t>Remplacer le &lt;div&gt; par &lt;main&gt;.</t>
        </is>
      </c>
      <c r="L45" s="19" t="inlineStr">
        <is>
          <t>S</t>
        </is>
      </c>
      <c r="M45" s="19" t="n">
        <v>21</v>
      </c>
      <c r="N45" s="20" t="inlineStr">
        <is>
          <t>Les quatre utilisent &lt;div id="main-content"&gt; ; grep « &lt;main » : 0 sur les quatre fichiers</t>
        </is>
      </c>
    </row>
    <row r="46" ht="62" customHeight="1">
      <c r="A46" s="18" t="inlineStr">
        <is>
          <t>CSS-04</t>
        </is>
      </c>
      <c r="B46" s="19" t="inlineStr">
        <is>
          <t>3. CSS &amp; design system</t>
        </is>
      </c>
      <c r="C46" s="20" t="inlineStr">
        <is>
          <t>La police Orbitron est déclarée dans les styles mais n'est jamais chargée</t>
        </is>
      </c>
      <c r="D46" s="23" t="inlineStr">
        <is>
          <t>Mineur</t>
        </is>
      </c>
      <c r="E46" s="26" t="inlineStr">
        <is>
          <t>Corrigé</t>
        </is>
      </c>
      <c r="F46" s="20" t="inlineStr">
        <is>
          <t>style-hero-split.css:138 et style-sections.css (2 occurrences) — Orbitron retirée des piles de polices, qui déclarent désormais DM Sans, effectivement rendu. Héberger la vraie Orbitron reste un choix de design, non traité ici.</t>
        </is>
      </c>
      <c r="G46" s="20" t="inlineStr">
        <is>
          <t>frontend/css/style-hero-split.css</t>
        </is>
      </c>
      <c r="H46" s="19" t="inlineStr">
        <is>
          <t>138 (aussi style-sections.css)</t>
        </is>
      </c>
      <c r="I46" s="20" t="inlineStr">
        <is>
          <t>Aucun @font-face, aucun fichier, aucun chargement externe : le rendu retombe silencieusement sur DM Sans. La documentation du projet présente pourtant Orbitron comme une des trois polices de l'identité.</t>
        </is>
      </c>
      <c r="J46" s="20" t="inlineStr">
        <is>
          <t>L'identité typographique décrite n'existe pas à l'écran. Aucun coût de performance (rien n'est téléchargé).</t>
        </is>
      </c>
      <c r="K46" s="20" t="inlineStr">
        <is>
          <t>Trancher : héberger Orbitron en woff2 local comme les autres, ou retirer la mention des piles de polices et de la documentation.</t>
        </is>
      </c>
      <c r="L46" s="19" t="inlineStr">
        <is>
          <t>S</t>
        </is>
      </c>
      <c r="M46" s="19" t="n">
        <v>21</v>
      </c>
      <c r="N46" s="20" t="inlineStr">
        <is>
          <t>font-family: 'Orbitron', 'DM Sans', sans-serif; — grep « Orbitron » dans css/fonts.css : 0 ; ls frontend/fonts/ : BarlowCondensed-400/500/600/700.woff2 et DMSans.woff2 uniquement ; aucun appel à un service de polices distant</t>
        </is>
      </c>
    </row>
    <row r="47" ht="62" customHeight="1">
      <c r="A47" s="18" t="inlineStr">
        <is>
          <t>A11Y-10</t>
        </is>
      </c>
      <c r="B47" s="19" t="inlineStr">
        <is>
          <t>6. Accessibilité</t>
        </is>
      </c>
      <c r="C47" s="20" t="inlineStr">
        <is>
          <t>role="alert" doublé d'un aria-live="polite" contradictoire</t>
        </is>
      </c>
      <c r="D47" s="23" t="inlineStr">
        <is>
          <t>Mineur</t>
        </is>
      </c>
      <c r="E47" s="26" t="inlineStr">
        <is>
          <t>Corrigé</t>
        </is>
      </c>
      <c r="F47" s="20" t="inlineStr">
        <is>
          <t>contact.html:175 et 190, forgot-password.html:160, reset-password.html:194 — aria-live="polite" retiré ; role="alert" porte déjà la sémantique assertive.</t>
        </is>
      </c>
      <c r="G47" s="20" t="inlineStr">
        <is>
          <t>frontend/contact.html</t>
        </is>
      </c>
      <c r="H47" s="19" t="inlineStr">
        <is>
          <t>175 et 190 (+ forgot-password.html:160, reset-password.html:194)</t>
        </is>
      </c>
      <c r="I47" s="20" t="inlineStr">
        <is>
          <t>role="alert" implique aria-live="assertive" ; y adjoindre « polite » est contradictoire et le comportement retenu varie selon la technologie d'assistance.</t>
        </is>
      </c>
      <c r="J47" s="20" t="inlineStr">
        <is>
          <t>Urgence d'annonce des erreurs de formulaire imprévisible.</t>
        </is>
      </c>
      <c r="K47" s="20" t="inlineStr">
        <is>
          <t>Retirer aria-live="polite" : le rôle suffit.</t>
        </is>
      </c>
      <c r="L47" s="19" t="inlineStr">
        <is>
          <t>S</t>
        </is>
      </c>
      <c r="M47" s="19" t="n">
        <v>23</v>
      </c>
      <c r="N47" s="20" t="inlineStr">
        <is>
          <t>&lt;span id="contact-email-error" class="form-error" role="alert" aria-live="polite"&gt;&lt;/span&gt; — 4 occurrences</t>
        </is>
      </c>
    </row>
    <row r="48" ht="62" customHeight="1">
      <c r="A48" s="18" t="inlineStr">
        <is>
          <t>QUAL-01</t>
        </is>
      </c>
      <c r="B48" s="19" t="inlineStr">
        <is>
          <t>10. Qualité du code</t>
        </is>
      </c>
      <c r="C48" s="20" t="inlineStr">
        <is>
          <t>Le seuil de couverture de utils.js est en échec permanent</t>
        </is>
      </c>
      <c r="D48" s="23" t="inlineStr">
        <is>
          <t>Mineur</t>
        </is>
      </c>
      <c r="E48" s="26" t="inlineStr">
        <is>
          <t>Corrigé</t>
        </is>
      </c>
      <c r="F48" s="20" t="inlineStr">
        <is>
          <t>frontend/js/utils.js — trapFocus exporté, il ne l'était pas, d'où son absence de tests ; 16 tests ajoutés couvrant safeSetHTML, trapFocus et setNumberPopIn. Couverture de utils.js : 52,43 % → 91,46 % des instructions.</t>
        </is>
      </c>
      <c r="G48" s="20" t="inlineStr">
        <is>
          <t>frontend/jest.config.json</t>
        </is>
      </c>
      <c r="H48" s="19" t="inlineStr">
        <is>
          <t>20-25</t>
        </is>
      </c>
      <c r="I48" s="20" t="inlineStr">
        <is>
          <t>npm test (sans --coverage) passe, donc l'échec ne bloque personne au quotidien — et c'est le problème.</t>
        </is>
      </c>
      <c r="J48" s="20" t="inlineStr">
        <is>
          <t>Le garde-fou est en échec constant : il ne peut plus signaler une régression réelle.</t>
        </is>
      </c>
      <c r="K48" s="20" t="inlineStr">
        <is>
          <t>Compléter les tests de utils.js, ou abaisser le seuil à la valeur réellement tenue et l'assumer.</t>
        </is>
      </c>
      <c r="L48" s="19" t="inlineStr">
        <is>
          <t>M</t>
        </is>
      </c>
      <c r="M48" s="19" t="n">
        <v>23</v>
      </c>
      <c r="N48" s="20" t="inlineStr">
        <is>
          <t>npx jest --coverage : « Coverage for statements (52.43%) does not meet ./js/utils.js threshold (55%) », idem branches 46,84 &lt; 55, fonctions 46,15 &lt; 50, lignes 53,62 &lt; 55. Vérifié sur main avant toute modification de cette session : l'écart préexiste.</t>
        </is>
      </c>
    </row>
    <row r="49" ht="62" customHeight="1">
      <c r="A49" s="18" t="inlineStr">
        <is>
          <t>A11Y-11</t>
        </is>
      </c>
      <c r="B49" s="19" t="inlineStr">
        <is>
          <t>6. Accessibilité</t>
        </is>
      </c>
      <c r="C49" s="20" t="inlineStr">
        <is>
          <t>Le graphique radar SVG n'est ni masqué ni décrit</t>
        </is>
      </c>
      <c r="D49" s="23" t="inlineStr">
        <is>
          <t>Mineur</t>
        </is>
      </c>
      <c r="E49" s="26" t="inlineStr">
        <is>
          <t>Corrigé</t>
        </is>
      </c>
      <c r="F49" s="20" t="inlineStr">
        <is>
          <t>frontend/js/details/radar.js:74 — le &lt;svg&gt; reçoit aria-hidden="true" et focusable="false" ; la légende adjacente porte déjà les valeurs en texte.</t>
        </is>
      </c>
      <c r="G49" s="20" t="inlineStr">
        <is>
          <t>frontend/js/details/radar.js</t>
        </is>
      </c>
      <c r="H49" s="19" t="inlineStr">
        <is>
          <t>74</t>
        </is>
      </c>
      <c r="I49" s="20" t="inlineStr">
        <is>
          <t>Le SVG expose les libellés d'axes sans les valeurs ; l'équivalent textuel complet existe juste à côté dans #radar-legend.</t>
        </is>
      </c>
      <c r="J49" s="20" t="inlineStr">
        <is>
          <t>Annonce partielle et redondante pour les lecteurs d'écran qui explorent le SVG.</t>
        </is>
      </c>
      <c r="K49" s="20" t="inlineStr">
        <is>
          <t>Ajouter aria-hidden="true" sur le &lt;svg&gt;, la légende portant déjà l'information.</t>
        </is>
      </c>
      <c r="L49" s="19" t="inlineStr">
        <is>
          <t>S</t>
        </is>
      </c>
      <c r="M49" s="19" t="n">
        <v>24</v>
      </c>
      <c r="N49" s="20" t="inlineStr">
        <is>
          <t>&lt;svg viewBox="0 0 300 300" … class="radar-svg"&gt; — sans aria-hidden ni role/aria-label ; la légende équivalente est bien construite lignes 96-104</t>
        </is>
      </c>
    </row>
    <row r="50" ht="62" customHeight="1">
      <c r="A50" s="18" t="inlineStr">
        <is>
          <t>CONT-01</t>
        </is>
      </c>
      <c r="B50" s="19" t="inlineStr">
        <is>
          <t>12. Contenu &amp; éditorial</t>
        </is>
      </c>
      <c r="C50" s="20" t="inlineStr">
        <is>
          <t>Espaces insécables appliqués dans les pages légales mais pas ailleurs</t>
        </is>
      </c>
      <c r="D50" s="23" t="inlineStr">
        <is>
          <t>Mineur</t>
        </is>
      </c>
      <c r="E50" s="26" t="inlineStr">
        <is>
          <t>Corrigé</t>
        </is>
      </c>
      <c r="F50" s="20" t="inlineStr">
        <is>
          <t>frontend/locales/fr.json — 146 espaces insécables (U+00A0) posés avant : ; ! et ?. Le caractère et non l'entité &amp;nbsp; : i18n.js affecte textContent pour les clés simples, où une entité s'afficherait littéralement. L'anglais est inchangé, la parité des 1225 clés est préservée.</t>
        </is>
      </c>
      <c r="G50" s="20" t="inlineStr">
        <is>
          <t>frontend/locales/fr.json</t>
        </is>
      </c>
      <c r="H50" s="19" t="inlineStr">
        <is>
          <t>228 et 78 autres occurrences</t>
        </is>
      </c>
      <c r="I50" s="20" t="inlineStr">
        <is>
          <t>Exigence typographique française appliquée à une partie du contenu seulement.</t>
        </is>
      </c>
      <c r="J50" s="20" t="inlineStr">
        <is>
          <t>Rupture de ligne possible avant une ponctuation double en fin de ligne. Rendu correct dans la grande majorité des cas.</t>
        </is>
      </c>
      <c r="K50" s="20" t="inlineStr">
        <is>
          <t>Uniformiser dans un sens ou dans l'autre, idéalement l'espace insécable partout.</t>
        </is>
      </c>
      <c r="L50" s="19" t="inlineStr">
        <is>
          <t>M</t>
        </is>
      </c>
      <c r="M50" s="19" t="n">
        <v>24</v>
      </c>
      <c r="N50" s="20" t="inlineStr">
        <is>
          <t>79 occurrences d'espace normal avant « : », « ; », « ! » ou « ? » dans les textes courants (accueil, chronologie, connexion, contact, favoris), alors que les pages légales emploient correctement &amp;nbsp; (ex. politique-confidentialite.html:339 : « n° 2020-091&amp;nbsp;: »).</t>
        </is>
      </c>
    </row>
    <row r="51" ht="62" customHeight="1">
      <c r="A51" s="18" t="inlineStr">
        <is>
          <t>A11Y-12</t>
        </is>
      </c>
      <c r="B51" s="19" t="inlineStr">
        <is>
          <t>6. Accessibilité</t>
        </is>
      </c>
      <c r="C51" s="20" t="inlineStr">
        <is>
          <t>Liens d'action sous la hauteur de cible de 24 px</t>
        </is>
      </c>
      <c r="D51" s="23" t="inlineStr">
        <is>
          <t>Mineur</t>
        </is>
      </c>
      <c r="E51" s="26" t="inlineStr">
        <is>
          <t>Corrigé</t>
        </is>
      </c>
      <c r="F51" s="20" t="inlineStr">
        <is>
          <t>frontend/css/shared-base.css — min-height: 24px et inline-flex sur .feature-link, .aircraft-btn, .hero-aside-link, .forgot-password et les liens du fil d'Ariane.</t>
        </is>
      </c>
      <c r="G51" s="20" t="inlineStr">
        <is>
          <t>frontend/css/style-sections.css</t>
        </is>
      </c>
      <c r="H51" s="19" t="inlineStr">
        <is>
          <t>— (.feature-link, .aircraft-btn, .forgot-password, fil d'Ariane)</t>
        </is>
      </c>
      <c r="I51" s="20" t="inlineStr">
        <is>
          <t>Largeur confortable, hauteur de 20 à 23 px, sous le seuil de 24 px du critère 2.5.8.</t>
        </is>
      </c>
      <c r="J51" s="20" t="inlineStr">
        <is>
          <t>Plusieurs bénéficient probablement de l'exception d'espacement (pas de cible voisine dans un rayon de 24 px) : la conformité formelle dépend de cet espacement, non mesuré ici.</t>
        </is>
      </c>
      <c r="K51" s="20" t="inlineStr">
        <is>
          <t>min-height: 24px et un padding vertical sur ces classes — plus simple que de démontrer l'exception.</t>
        </is>
      </c>
      <c r="L51" s="19" t="inlineStr">
        <is>
          <t>S</t>
        </is>
      </c>
      <c r="M51" s="19" t="n">
        <v>25</v>
      </c>
      <c r="N51" s="20" t="inlineStr">
        <is>
          <t>Mesure Playwright (getBoundingClientRect) à 1440 px et 390 px : .feature-link 206×23, .aircraft-btn 133×21, #hero-fact-link 98×21, .forgot-password 130×20, lien « Accueil » du fil d'Ariane 83×20</t>
        </is>
      </c>
    </row>
    <row r="52" ht="62" customHeight="1">
      <c r="A52" s="18" t="inlineStr">
        <is>
          <t>A11Y-13</t>
        </is>
      </c>
      <c r="B52" s="19" t="inlineStr">
        <is>
          <t>6. Accessibilité</t>
        </is>
      </c>
      <c r="C52" s="20" t="inlineStr">
        <is>
          <t>Lien externe en nouvel onglet sans avertissement ni rel="noopener"</t>
        </is>
      </c>
      <c r="D52" s="23" t="inlineStr">
        <is>
          <t>Mineur</t>
        </is>
      </c>
      <c r="E52" s="26" t="inlineStr">
        <is>
          <t>Corrigé</t>
        </is>
      </c>
      <c r="F52" s="20" t="inlineStr">
        <is>
          <t>frontend/politique-confidentialite.html:563 — rel="noopener noreferrer" ajouté et mention « (nouvel onglet) » en .sr-only, avec la clé i18n legal.new_tab dans les deux langues.</t>
        </is>
      </c>
      <c r="G52" s="20" t="inlineStr">
        <is>
          <t>frontend/politique-confidentialite.html</t>
        </is>
      </c>
      <c r="H52" s="19" t="inlineStr">
        <is>
          <t>563</t>
        </is>
      </c>
      <c r="I52" s="20" t="inlineStr">
        <is>
          <t>Ni indication textuelle, ni aria-label, ni rel="noopener".</t>
        </is>
      </c>
      <c r="J52" s="20" t="inlineStr">
        <is>
          <t>Changement de contexte inattendu, non annoncé aux lecteurs d'écran.</t>
        </is>
      </c>
      <c r="K52" s="20" t="inlineStr">
        <is>
          <t>Ajouter rel="noopener" et une mention « (nouvel onglet) » visuellement masquée.</t>
        </is>
      </c>
      <c r="L52" s="19" t="inlineStr">
        <is>
          <t>S</t>
        </is>
      </c>
      <c r="M52" s="19" t="n">
        <v>26</v>
      </c>
      <c r="N52" s="20" t="inlineStr">
        <is>
          <t>&lt;a href="https://www.cnil.fr" target="_blank"&gt;www.cnil.fr&lt;/a&gt; — seule occurrence de target="_blank" des 18 pages</t>
        </is>
      </c>
    </row>
    <row r="53" ht="62" customHeight="1">
      <c r="A53" s="18" t="inlineStr">
        <is>
          <t>JS-02</t>
        </is>
      </c>
      <c r="B53" s="19" t="inlineStr">
        <is>
          <t>4. JavaScript</t>
        </is>
      </c>
      <c r="C53" s="20" t="inlineStr">
        <is>
          <t>Une erreur 401 est journalisée en console à chaque visite anonyme</t>
        </is>
      </c>
      <c r="D53" s="24" t="inlineStr">
        <is>
          <t>Info</t>
        </is>
      </c>
      <c r="E53" s="26" t="inlineStr">
        <is>
          <t>Corrigé</t>
        </is>
      </c>
      <c r="F53" s="20" t="inlineStr">
        <is>
          <t>backend/middleware/auth.js — témoin de session vh_session (non httpOnly, non sensible, même durée que le refresh token) posé et effacé avec lui ; frontend/js/auth.js le consulte avant de tenter un rafraîchissement. Lighthouse bonnes pratiques : 96 → 100.</t>
        </is>
      </c>
      <c r="G53" s="20" t="inlineStr">
        <is>
          <t>frontend/js/auth.js</t>
        </is>
      </c>
      <c r="H53" s="19" t="inlineStr">
        <is>
          <t>—</t>
        </is>
      </c>
      <c r="I53" s="20" t="inlineStr">
        <is>
          <t>La tentative de rafraîchissement de session d'un visiteur non connecté produit un 401 attendu, mais visible en console.</t>
        </is>
      </c>
      <c r="J53" s="20" t="inlineStr">
        <is>
          <t>Aucun effet fonctionnel. Bruit qui masque de vraies erreurs pendant le débogage, et pénalise le score « bonnes pratiques ».</t>
        </is>
      </c>
      <c r="K53" s="20" t="inlineStr">
        <is>
          <t>Ne tenter le rafraîchissement que si un indice de session existe, ou traiter le 401 sans le laisser remonter en erreur réseau.</t>
        </is>
      </c>
      <c r="L53" s="19" t="inlineStr">
        <is>
          <t>S</t>
        </is>
      </c>
      <c r="M53" s="19" t="n">
        <v>32</v>
      </c>
      <c r="N53" s="20" t="inlineStr">
        <is>
          <t>Lighthouse errors-in-console (score 0) : « Failed to load resource: the server responded with a status of 401 (Unauthorized) ». Reproduit sur toutes les pages en navigation anonyme.</t>
        </is>
      </c>
    </row>
    <row r="54" ht="62" customHeight="1">
      <c r="A54" s="18" t="inlineStr">
        <is>
          <t>JS-03</t>
        </is>
      </c>
      <c r="B54" s="19" t="inlineStr">
        <is>
          <t>4. JavaScript</t>
        </is>
      </c>
      <c r="C54" s="20" t="inlineStr">
        <is>
          <t>L'appareil du jour change si le catalogue change dans la journée</t>
        </is>
      </c>
      <c r="D54" s="24" t="inlineStr">
        <is>
          <t>Info</t>
        </is>
      </c>
      <c r="E54" s="26" t="inlineStr">
        <is>
          <t>Corrigé</t>
        </is>
      </c>
      <c r="F54" s="20" t="inlineStr">
        <is>
          <t>frontend/js/home/hero-daily.js — pickDaily retient l'appareil dont hash(jour + identifiant) est minimal, au lieu d'un index modulo la longueur. Trois tests ajoutés, dont la stabilité sur 28 jours quand le catalogue passe de 383 à 387 fiches.</t>
        </is>
      </c>
      <c r="G54" s="20" t="inlineStr">
        <is>
          <t>frontend/js/home/hero-daily.js</t>
        </is>
      </c>
      <c r="H54" s="19" t="inlineStr">
        <is>
          <t>47-50</t>
        </is>
      </c>
      <c r="I54" s="20" t="inlineStr">
        <is>
          <t>Le tirage est un index modulo la longueur de la liste : ajouter ou retirer une fiche décale tous les index.</t>
        </is>
      </c>
      <c r="J54" s="20" t="inlineStr">
        <is>
          <t>Faible — le catalogue évolue par lots. Un lien partagé « l'appareil du jour » peut toutefois ne plus correspondre.</t>
        </is>
      </c>
      <c r="K54" s="20" t="inlineStr">
        <is>
          <t>Tirer sur l'identifiant plutôt que sur la position : choisir l'appareil dont hash(id + jour) est minimal, stable à l'ajout d'une fiche.</t>
        </is>
      </c>
      <c r="L54" s="19" t="inlineStr">
        <is>
          <t>S</t>
        </is>
      </c>
      <c r="M54" s="19" t="n">
        <v>33</v>
      </c>
      <c r="N54" s="20" t="inlineStr">
        <is>
          <t>return hashSeed(dayKey) % length; — observé pendant l'audit : l'appareil du jour est passé de sea-harrier à h6 après l'insertion de 4 fiches par le seed E2E</t>
        </is>
      </c>
    </row>
    <row r="55" ht="62" customHeight="1">
      <c r="A55" s="18" t="inlineStr">
        <is>
          <t>HTML-01</t>
        </is>
      </c>
      <c r="B55" s="19" t="inlineStr">
        <is>
          <t>2. HTML &amp; sémantique</t>
        </is>
      </c>
      <c r="C55" s="20" t="inlineStr">
        <is>
          <t>Séparateurs de titres incohérents entre pages</t>
        </is>
      </c>
      <c r="D55" s="24" t="inlineStr">
        <is>
          <t>Info</t>
        </is>
      </c>
      <c r="E55" s="26" t="inlineStr">
        <is>
          <t>Corrigé</t>
        </is>
      </c>
      <c r="F55" s="20" t="inlineStr">
        <is>
          <t>frontend/index.html et favorites.html, plus les valeurs correspondantes dans fr.json et en.json : séparateur unifié sur « | ».</t>
        </is>
      </c>
      <c r="G55" s="20" t="inlineStr">
        <is>
          <t>frontend/index.html</t>
        </is>
      </c>
      <c r="H55" s="19" t="inlineStr">
        <is>
          <t>—</t>
        </is>
      </c>
      <c r="I55" s="20" t="inlineStr">
        <is>
          <t>Deux conventions de séparateur coexistent dans les titres de page.</t>
        </is>
      </c>
      <c r="J55" s="20" t="inlineStr">
        <is>
          <t>Cosmétique, visible dans les résultats de recherche et les onglets.</t>
        </is>
      </c>
      <c r="K55" s="20" t="inlineStr">
        <is>
          <t>Uniformiser sur « | ».</t>
        </is>
      </c>
      <c r="L55" s="19" t="inlineStr">
        <is>
          <t>S</t>
        </is>
      </c>
      <c r="M55" s="19" t="n">
        <v>34</v>
      </c>
      <c r="N55" s="20" t="inlineStr">
        <is>
          <t>Relevé des 18 &lt;title&gt; : « Vol d'Histoire - Explorez… » et « Mes Favoris - Vol d'Histoire » utilisent un tiret, les 14 autres une barre verticale.</t>
        </is>
      </c>
    </row>
    <row r="56" ht="62" customHeight="1">
      <c r="A56" s="18" t="inlineStr">
        <is>
          <t>CONT-02</t>
        </is>
      </c>
      <c r="B56" s="19" t="inlineStr">
        <is>
          <t>12. Contenu &amp; éditorial</t>
        </is>
      </c>
      <c r="C56" s="20" t="inlineStr">
        <is>
          <t>Documentation d'architecture décalée des versions installées</t>
        </is>
      </c>
      <c r="D56" s="24" t="inlineStr">
        <is>
          <t>Info</t>
        </is>
      </c>
      <c r="E56" s="26" t="inlineStr">
        <is>
          <t>Corrigé</t>
        </is>
      </c>
      <c r="F56" s="20" t="inlineStr">
        <is>
          <t>CLAUDE.md et README.md — Express 4.21 → 5.2, pg 8.13 → 8.20, Nodemailer 10 mentionné, avec un renvoi aux différences de routage d'Express 5.</t>
        </is>
      </c>
      <c r="G56" s="20" t="inlineStr">
        <is>
          <t>CLAUDE.md</t>
        </is>
      </c>
      <c r="H56" s="19" t="inlineStr">
        <is>
          <t>8</t>
        </is>
      </c>
      <c r="I56" s="20" t="inlineStr">
        <is>
          <t>La documentation de référence du projet annonce une version majeure de retard sur son framework serveur.</t>
        </is>
      </c>
      <c r="J56" s="20" t="inlineStr">
        <is>
          <t>Risque de contresens pour un nouvel arrivant ou lors d'une future migration.</t>
        </is>
      </c>
      <c r="K56" s="20" t="inlineStr">
        <is>
          <t>Mettre à jour la section Stack de CLAUDE.md et du README.</t>
        </is>
      </c>
      <c r="L56" s="19" t="inlineStr">
        <is>
          <t>S</t>
        </is>
      </c>
      <c r="M56" s="19" t="n">
        <v>36</v>
      </c>
      <c r="N56" s="20" t="inlineStr">
        <is>
          <t>« Express 4.21 […] PostgreSQL via pg 8.13 » — npm ls : express@5.2.1, pg@8.20.0. Express 5 change le routage et la gestion des erreurs asynchrones.</t>
        </is>
      </c>
    </row>
    <row r="57" ht="62" customHeight="1">
      <c r="A57" s="18" t="inlineStr">
        <is>
          <t>ARCH-02</t>
        </is>
      </c>
      <c r="B57" s="19" t="inlineStr">
        <is>
          <t>1. Architecture &amp; structure</t>
        </is>
      </c>
      <c r="C57" s="20" t="inlineStr">
        <is>
          <t>17 fichiers SVG de logo ne sont référencés nulle part</t>
        </is>
      </c>
      <c r="D57" s="23" t="inlineStr">
        <is>
          <t>Mineur</t>
        </is>
      </c>
      <c r="E57" s="27" t="inlineStr">
        <is>
          <t>Écarté</t>
        </is>
      </c>
      <c r="F57" s="20" t="inlineStr">
        <is>
          <t>Écarté à la demande : ces 17 fichiers sont un stock de déclinaisons de charte conservé pour un usage futur, pas un oubli.</t>
        </is>
      </c>
      <c r="G57" s="20" t="inlineStr">
        <is>
          <t>frontend/assets/logo/</t>
        </is>
      </c>
      <c r="H57" s="19" t="inlineStr">
        <is>
          <t>—</t>
        </is>
      </c>
      <c r="I57" s="20" t="inlineStr">
        <is>
          <t>Déclinaisons de charte jamais câblées dans le site.</t>
        </is>
      </c>
      <c r="J57" s="20" t="inlineStr">
        <is>
          <t>Faible : ce sont de petits fichiers. Bruit dans l'arborescence et ambiguïté sur le logo de référence.</t>
        </is>
      </c>
      <c r="K57" s="20" t="inlineStr">
        <is>
          <t>Déplacer dans un dossier brand-kit hors du répertoire servi, ou supprimer.</t>
        </is>
      </c>
      <c r="L57" s="19" t="inlineStr">
        <is>
          <t>S</t>
        </is>
      </c>
      <c r="M57" s="19" t="n">
        <v>22</v>
      </c>
      <c r="N57" s="20" t="inlineStr">
        <is>
          <t>Recherche du nom de chaque fichier dans tout frontend/ et backend/ (html, js, css, json, webmanifest, hors bundles) : 17 des 24 SVG ont zéro occurrence — vh-emblem-gold, vh-icon-only-{dark,gold,paper}, vh-lockup-horizontal-{dark,gold,paper}, vh-lockup-horizontal-mono-dark, vh-lockup-stacked-{dark,gold,paper}, vh-mark-flat-{dark,gold,paper}, vh-mark-primary-{dark,paper}, vh-monogram-gold. Les deux placeholders, eux, sont bien utilisés via interpolation (shared/card.js:40).</t>
        </is>
      </c>
    </row>
  </sheetData>
  <autoFilter ref="A4:N5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1. Architecture &amp; structure</t>
        </is>
      </c>
    </row>
    <row r="2">
      <c r="A2" s="2" t="inlineStr">
        <is>
          <t>3 constat(s) · score 92 → 100/100 · 1 corrigé(s), 1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ARCH-03</t>
        </is>
      </c>
      <c r="B5" s="19" t="inlineStr">
        <is>
          <t>1. Architecture &amp; structure</t>
        </is>
      </c>
      <c r="C5" s="20" t="inlineStr">
        <is>
          <t>Trois feuilles de style dépassent le seuil de 800 lignes du projet</t>
        </is>
      </c>
      <c r="D5" s="24" t="inlineStr">
        <is>
          <t>Info</t>
        </is>
      </c>
      <c r="E5" s="22" t="inlineStr">
        <is>
          <t>Ouvert</t>
        </is>
      </c>
      <c r="F5" s="20" t="inlineStr">
        <is>
          <t>—</t>
        </is>
      </c>
      <c r="G5" s="20" t="inlineStr">
        <is>
          <t>frontend/css/shared-base.css</t>
        </is>
      </c>
      <c r="H5" s="19" t="inlineStr">
        <is>
          <t>—</t>
        </is>
      </c>
      <c r="I5" s="20" t="inlineStr">
        <is>
          <t>La règle interne des 800 lignes est tenue partout sauf sur ces trois feuilles.</t>
        </is>
      </c>
      <c r="J5" s="20" t="inlineStr">
        <is>
          <t>Lisibilité de la feuille partagée, chargée sur toutes les pages.</t>
        </is>
      </c>
      <c r="K5" s="20" t="inlineStr">
        <is>
          <t>Découper shared-base.css par domaine au prochain passage sur le CSS.</t>
        </is>
      </c>
      <c r="L5" s="19" t="inlineStr">
        <is>
          <t>M</t>
        </is>
      </c>
      <c r="M5" s="19" t="n">
        <v>31</v>
      </c>
      <c r="N5" s="20" t="inlineStr">
        <is>
          <t>wc -l : shared-base.css 1338, timeline.css 993, details.css 991. Aucun fichier JS ne dépasse le seuil (plus gros : routes/airplanes.js 651, app.js 580, favorites.js 588).</t>
        </is>
      </c>
    </row>
    <row r="6" ht="62" customHeight="1">
      <c r="A6" s="18" t="inlineStr">
        <is>
          <t>ARCH-01</t>
        </is>
      </c>
      <c r="B6" s="19" t="inlineStr">
        <is>
          <t>1. Architecture &amp; structure</t>
        </is>
      </c>
      <c r="C6" s="20" t="inlineStr">
        <is>
          <t>slugify() est dupliqué caractère pour caractère entre le SSR et utils/url.js</t>
        </is>
      </c>
      <c r="D6" s="21" t="inlineStr">
        <is>
          <t>Majeur</t>
        </is>
      </c>
      <c r="E6" s="26" t="inlineStr">
        <is>
          <t>Corrigé</t>
        </is>
      </c>
      <c r="F6" s="20" t="inlineStr">
        <is>
          <t>backend/routes/details-ssr.js — les copies locales de slugify() et idFromSlug() sont supprimées au profit de require('../utils/url'). Les URL canoniques des 383 fiches ont maintenant une source unique.</t>
        </is>
      </c>
      <c r="G6" s="20" t="inlineStr">
        <is>
          <t>backend/routes/details-ssr.js</t>
        </is>
      </c>
      <c r="H6" s="19" t="inlineStr">
        <is>
          <t>29-35</t>
        </is>
      </c>
      <c r="I6" s="20" t="inlineStr">
        <is>
          <t>Les URL canoniques SEO des 383 fiches sont produites par une copie de la fonction, pas par la source commune. Le même algorithme est d'ailleurs réimplémenté deux fois de plus côté frontend (details/data.js:5-12 et shared/card.js:84-91).</t>
        </is>
      </c>
      <c r="J6" s="20" t="inlineStr">
        <is>
          <t>Une correction du slug dans utils/url.js ne se propagerait pas au SSR : divergence silencieuse entre l'URL générée et l'URL attendue, donc 404 ou duplication d'URL côté moteur.</t>
        </is>
      </c>
      <c r="K6" s="20" t="inlineStr">
        <is>
          <t>Faire pointer details-ssr.js vers utils/url.js ; centraliser la version frontend dans shared/.</t>
        </is>
      </c>
      <c r="L6" s="19" t="inlineStr">
        <is>
          <t>S</t>
        </is>
      </c>
      <c r="M6" s="19" t="n">
        <v>9</v>
      </c>
      <c r="N6" s="20" t="inlineStr">
        <is>
          <t>Les deux implémentations sont identiques (backend/utils/url.js:21-27 et details-ssr.js:29-35). details-ssr.js ne fait aucun require('../utils/url') — vérifié sur la liste de ses require (lignes 11-14).</t>
        </is>
      </c>
    </row>
    <row r="7" ht="62" customHeight="1">
      <c r="A7" s="18" t="inlineStr">
        <is>
          <t>ARCH-02</t>
        </is>
      </c>
      <c r="B7" s="19" t="inlineStr">
        <is>
          <t>1. Architecture &amp; structure</t>
        </is>
      </c>
      <c r="C7" s="20" t="inlineStr">
        <is>
          <t>17 fichiers SVG de logo ne sont référencés nulle part</t>
        </is>
      </c>
      <c r="D7" s="23" t="inlineStr">
        <is>
          <t>Mineur</t>
        </is>
      </c>
      <c r="E7" s="27" t="inlineStr">
        <is>
          <t>Écarté</t>
        </is>
      </c>
      <c r="F7" s="20" t="inlineStr">
        <is>
          <t>Écarté à la demande : ces 17 fichiers sont un stock de déclinaisons de charte conservé pour un usage futur, pas un oubli.</t>
        </is>
      </c>
      <c r="G7" s="20" t="inlineStr">
        <is>
          <t>frontend/assets/logo/</t>
        </is>
      </c>
      <c r="H7" s="19" t="inlineStr">
        <is>
          <t>—</t>
        </is>
      </c>
      <c r="I7" s="20" t="inlineStr">
        <is>
          <t>Déclinaisons de charte jamais câblées dans le site.</t>
        </is>
      </c>
      <c r="J7" s="20" t="inlineStr">
        <is>
          <t>Faible : ce sont de petits fichiers. Bruit dans l'arborescence et ambiguïté sur le logo de référence.</t>
        </is>
      </c>
      <c r="K7" s="20" t="inlineStr">
        <is>
          <t>Déplacer dans un dossier brand-kit hors du répertoire servi, ou supprimer.</t>
        </is>
      </c>
      <c r="L7" s="19" t="inlineStr">
        <is>
          <t>S</t>
        </is>
      </c>
      <c r="M7" s="19" t="n">
        <v>22</v>
      </c>
      <c r="N7" s="20" t="inlineStr">
        <is>
          <t>Recherche du nom de chaque fichier dans tout frontend/ et backend/ (html, js, css, json, webmanifest, hors bundles) : 17 des 24 SVG ont zéro occurrence — vh-emblem-gold, vh-icon-only-{dark,gold,paper}, vh-lockup-horizontal-{dark,gold,paper}, vh-lockup-horizontal-mono-dark, vh-lockup-stacked-{dark,gold,paper}, vh-mark-flat-{dark,gold,paper}, vh-mark-primary-{dark,paper}, vh-monogram-gold. Les deux placeholders, eux, sont bien utilisés via interpolation (shared/card.js:40).</t>
        </is>
      </c>
    </row>
  </sheetData>
  <autoFilter ref="A4:N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2. HTML &amp; sémantique</t>
        </is>
      </c>
    </row>
    <row r="2">
      <c r="A2" s="2" t="inlineStr">
        <is>
          <t>1 constat(s) · score 100 → 100/100 · 1 corrigé(s), 0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HTML-01</t>
        </is>
      </c>
      <c r="B5" s="19" t="inlineStr">
        <is>
          <t>2. HTML &amp; sémantique</t>
        </is>
      </c>
      <c r="C5" s="20" t="inlineStr">
        <is>
          <t>Séparateurs de titres incohérents entre pages</t>
        </is>
      </c>
      <c r="D5" s="24" t="inlineStr">
        <is>
          <t>Info</t>
        </is>
      </c>
      <c r="E5" s="26" t="inlineStr">
        <is>
          <t>Corrigé</t>
        </is>
      </c>
      <c r="F5" s="20" t="inlineStr">
        <is>
          <t>frontend/index.html et favorites.html, plus les valeurs correspondantes dans fr.json et en.json : séparateur unifié sur « | ».</t>
        </is>
      </c>
      <c r="G5" s="20" t="inlineStr">
        <is>
          <t>frontend/index.html</t>
        </is>
      </c>
      <c r="H5" s="19" t="inlineStr">
        <is>
          <t>—</t>
        </is>
      </c>
      <c r="I5" s="20" t="inlineStr">
        <is>
          <t>Deux conventions de séparateur coexistent dans les titres de page.</t>
        </is>
      </c>
      <c r="J5" s="20" t="inlineStr">
        <is>
          <t>Cosmétique, visible dans les résultats de recherche et les onglets.</t>
        </is>
      </c>
      <c r="K5" s="20" t="inlineStr">
        <is>
          <t>Uniformiser sur « | ».</t>
        </is>
      </c>
      <c r="L5" s="19" t="inlineStr">
        <is>
          <t>S</t>
        </is>
      </c>
      <c r="M5" s="19" t="n">
        <v>34</v>
      </c>
      <c r="N5" s="20" t="inlineStr">
        <is>
          <t>Relevé des 18 &lt;title&gt; : « Vol d'Histoire - Explorez… » et « Mes Favoris - Vol d'Histoire » utilisent un tiret, les 14 autres une barre verticale.</t>
        </is>
      </c>
    </row>
  </sheetData>
  <autoFilter ref="A4:N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3. CSS &amp; design system</t>
        </is>
      </c>
    </row>
    <row r="2">
      <c r="A2" s="2" t="inlineStr">
        <is>
          <t>5 constat(s) · score 88 → 100/100 · 4 corrigé(s), 1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CSS-05</t>
        </is>
      </c>
      <c r="B5" s="19" t="inlineStr">
        <is>
          <t>3. CSS &amp; design system</t>
        </is>
      </c>
      <c r="C5" s="20" t="inlineStr">
        <is>
          <t>Approche desktop-first, contrairement au mobile-first documenté</t>
        </is>
      </c>
      <c r="D5" s="24" t="inlineStr">
        <is>
          <t>Info</t>
        </is>
      </c>
      <c r="E5" s="22" t="inlineStr">
        <is>
          <t>Ouvert</t>
        </is>
      </c>
      <c r="F5" s="20" t="inlineStr">
        <is>
          <t>—</t>
        </is>
      </c>
      <c r="G5" s="20" t="inlineStr">
        <is>
          <t>frontend/css/</t>
        </is>
      </c>
      <c r="H5" s="19" t="inlineStr">
        <is>
          <t>—</t>
        </is>
      </c>
      <c r="I5" s="20" t="inlineStr">
        <is>
          <t>Écart entre la documentation d'architecture et la pratique réelle, plus quelques points de rupture ad hoc.</t>
        </is>
      </c>
      <c r="J5" s="20" t="inlineStr">
        <is>
          <t>Aucun défaut visible constaté ; coût de compréhension pour un nouvel arrivant.</t>
        </is>
      </c>
      <c r="K5" s="20" t="inlineStr">
        <is>
          <t>Aligner la documentation sur la réalité, ou converger vers l'échelle de tokens lors des prochaines retouches.</t>
        </is>
      </c>
      <c r="L5" s="19" t="inlineStr">
        <is>
          <t>M</t>
        </is>
      </c>
      <c r="M5" s="19" t="n">
        <v>30</v>
      </c>
      <c r="N5" s="20" t="inlineStr">
        <is>
          <t>Sur 88 media queries : 67 max-width contre 9 min-width. Sept valeurs hors de l'échelle déclarée dans tokens.css:8-13 : 37.5em (contact.css:100), 600px (details-lineage.css:102), 1024px et 640px (shared-base.css:1326,1332), 70em (style-hero-split.css:352), 1280px (style-sections.css:69), 47.99em (nations-map.css:205).</t>
        </is>
      </c>
    </row>
    <row r="6" ht="62" customHeight="1">
      <c r="A6" s="18" t="inlineStr">
        <is>
          <t>CSS-01</t>
        </is>
      </c>
      <c r="B6" s="19" t="inlineStr">
        <is>
          <t>3. CSS &amp; design system</t>
        </is>
      </c>
      <c r="C6" s="20" t="inlineStr">
        <is>
          <t>style-hero.css est toujours empaqueté alors que sa structure a disparu</t>
        </is>
      </c>
      <c r="D6" s="21" t="inlineStr">
        <is>
          <t>Majeur</t>
        </is>
      </c>
      <c r="E6" s="26" t="inlineStr">
        <is>
          <t>Corrigé</t>
        </is>
      </c>
      <c r="F6" s="20" t="inlineStr">
        <is>
          <t>frontend/css/style-hero.css purgée par analyse sélecteur par sélecteur : 8,8 → 4,3 Ko, 24 règles mortes retirées. Le JS mort associé (.scroll-indicator, absent de tout HTML) est supprimé de script.js.</t>
        </is>
      </c>
      <c r="G6" s="20" t="inlineStr">
        <is>
          <t>scripts/build-css.js</t>
        </is>
      </c>
      <c r="H6" s="19" t="inlineStr">
        <is>
          <t>44</t>
        </is>
      </c>
      <c r="I6" s="20" t="inlineStr">
        <is>
          <t>La feuille (344 lignes) sert l'ancienne structure de hero, remplacée par hero-split. Quelques sélecteurs subsistent ailleurs (hero-content, hero-badge : une occurrence chacun), donc la suppression sèche est à écarter — c'est une passe de purge qu'il faut.</t>
        </is>
      </c>
      <c r="J6" s="20" t="inlineStr">
        <is>
          <t>Poids mort expédié à chaque chargement de l'accueil, et confusion de maintenance : deux systèmes de hero cohabitent dans le bundle.</t>
        </is>
      </c>
      <c r="K6" s="20" t="inlineStr">
        <is>
          <t>Purger les sélecteurs morts, déplacer les deux ou trois encore utilisés vers la feuille appropriée, puis retirer la ligne 44 de build-css.js.</t>
        </is>
      </c>
      <c r="L6" s="19" t="inlineStr">
        <is>
          <t>M</t>
        </is>
      </c>
      <c r="M6" s="19" t="n">
        <v>10</v>
      </c>
      <c r="N6" s="20" t="inlineStr">
        <is>
          <t>'style-hero.css' figure toujours dans le bundle home.min.css. Or grep sur frontend/*.html et frontend/js (hors dist) : hero-title 0, hero-video 0, hero-hud-grid 0, btn-outline 0. index.html:104 utilise la structure hero-split, qui a sa propre feuille (style-hero-split.css, ligne 47 du même bundle).</t>
        </is>
      </c>
    </row>
    <row r="7" ht="62" customHeight="1">
      <c r="A7" s="18" t="inlineStr">
        <is>
          <t>CSS-02</t>
        </is>
      </c>
      <c r="B7" s="19" t="inlineStr">
        <is>
          <t>3. CSS &amp; design system</t>
        </is>
      </c>
      <c r="C7" s="20" t="inlineStr">
        <is>
          <t>Le bloc d'arrière-plan flouté est dupliqué à l'identique dans cinq feuilles</t>
        </is>
      </c>
      <c r="D7" s="23" t="inlineStr">
        <is>
          <t>Mineur</t>
        </is>
      </c>
      <c r="E7" s="26" t="inlineStr">
        <is>
          <t>Corrigé</t>
        </is>
      </c>
      <c r="F7" s="20" t="inlineStr">
        <is>
          <t>frontend/css/shared-base.css — source unique du fond photographique flouté pour les cinq pages concernées ; les copies de details.css, favorites.css, legal.css, settings.css et hangar.css sont supprimées. Gain net 2,5 Ko.</t>
        </is>
      </c>
      <c r="G7" s="20" t="inlineStr">
        <is>
          <t>frontend/css/details.css</t>
        </is>
      </c>
      <c r="H7" s="19" t="inlineStr">
        <is>
          <t>203-219 (+ favorites.css:11, legal.css:7, settings.css:9, hangar.css:18)</t>
        </is>
      </c>
      <c r="I7" s="20" t="inlineStr">
        <is>
          <t>Aucune source unique pour un effet visuel partagé par cinq pages.</t>
        </is>
      </c>
      <c r="J7" s="20" t="inlineStr">
        <is>
          <t>Toute retouche doit être répétée cinq fois ; l'écart constaté montre que ça n'est déjà plus fait.</t>
        </is>
      </c>
      <c r="K7" s="20" t="inlineStr">
        <is>
          <t>Extraire dans shared-base.css sous une classe unique, et supprimer les copies.</t>
        </is>
      </c>
      <c r="L7" s="19" t="inlineStr">
        <is>
          <t>S</t>
        </is>
      </c>
      <c r="M7" s="19" t="n">
        <v>19</v>
      </c>
      <c r="N7" s="20" t="inlineStr">
        <is>
          <t>La déclaration blur(30px) brightness(0.28) saturate(0.7) apparaît une fois dans chacune des cinq feuilles — ≈75 lignes dupliquées. La divergence a déjà commencé : legal.css et settings.css ajoutent background: transparent sur .hero-background, pas hangar.css ni favorites.css.</t>
        </is>
      </c>
    </row>
    <row r="8" ht="62" customHeight="1">
      <c r="A8" s="18" t="inlineStr">
        <is>
          <t>CSS-03</t>
        </is>
      </c>
      <c r="B8" s="19" t="inlineStr">
        <is>
          <t>3. CSS &amp; design system</t>
        </is>
      </c>
      <c r="C8" s="20" t="inlineStr">
        <is>
          <t>Deux systèmes d'empilement coexistent : tokens z-index et valeurs magiques</t>
        </is>
      </c>
      <c r="D8" s="23" t="inlineStr">
        <is>
          <t>Mineur</t>
        </is>
      </c>
      <c r="E8" s="26" t="inlineStr">
        <is>
          <t>Corrigé</t>
        </is>
      </c>
      <c r="F8" s="20" t="inlineStr">
        <is>
          <t>frontend/css/tokens.css — échelle complétée (--z-raised 900, --z-panel 999, --z-hud 5000, --z-overlay 9999). 15 valeurs littérales remplacées par le token de valeur strictement identique : aucun changement visuel.</t>
        </is>
      </c>
      <c r="G8" s="20" t="inlineStr">
        <is>
          <t>frontend/css/tokens.css</t>
        </is>
      </c>
      <c r="H8" s="19" t="inlineStr">
        <is>
          <t>255-258</t>
        </is>
      </c>
      <c r="I8" s="20" t="inlineStr">
        <is>
          <t>L'échelle documentée est court-circuitée dans la majorité des cas.</t>
        </is>
      </c>
      <c r="J8" s="20" t="inlineStr">
        <is>
          <t>Recouvrements imprévisibles — le projet en a déjà fait les frais en v4.8.0 avec la bannière de consentement passant devant la barre du comparateur.</t>
        </is>
      </c>
      <c r="K8" s="20" t="inlineStr">
        <is>
          <t>Remplacer progressivement les valeurs littérales par les tokens, en commençant par les modales et bandeaux.</t>
        </is>
      </c>
      <c r="L8" s="19" t="inlineStr">
        <is>
          <t>M</t>
        </is>
      </c>
      <c r="M8" s="19" t="n">
        <v>20</v>
      </c>
      <c r="N8" s="20" t="inlineStr">
        <is>
          <t>Les tokens existent (sticky 100 / header 1000 / dropdown 2000 / modal 10000) mais ne sont consommés que 9 fois. Plus de 70 déclarations z-index en valeurs littérales : 10000 et 9999 en dur, 5000 (timeline.css:55), 999 (favorites.css:254, hangar.css:164), 900 (hangar.css:340, timeline.css:805).</t>
        </is>
      </c>
    </row>
    <row r="9" ht="62" customHeight="1">
      <c r="A9" s="18" t="inlineStr">
        <is>
          <t>CSS-04</t>
        </is>
      </c>
      <c r="B9" s="19" t="inlineStr">
        <is>
          <t>3. CSS &amp; design system</t>
        </is>
      </c>
      <c r="C9" s="20" t="inlineStr">
        <is>
          <t>La police Orbitron est déclarée dans les styles mais n'est jamais chargée</t>
        </is>
      </c>
      <c r="D9" s="23" t="inlineStr">
        <is>
          <t>Mineur</t>
        </is>
      </c>
      <c r="E9" s="26" t="inlineStr">
        <is>
          <t>Corrigé</t>
        </is>
      </c>
      <c r="F9" s="20" t="inlineStr">
        <is>
          <t>style-hero-split.css:138 et style-sections.css (2 occurrences) — Orbitron retirée des piles de polices, qui déclarent désormais DM Sans, effectivement rendu. Héberger la vraie Orbitron reste un choix de design, non traité ici.</t>
        </is>
      </c>
      <c r="G9" s="20" t="inlineStr">
        <is>
          <t>frontend/css/style-hero-split.css</t>
        </is>
      </c>
      <c r="H9" s="19" t="inlineStr">
        <is>
          <t>138 (aussi style-sections.css)</t>
        </is>
      </c>
      <c r="I9" s="20" t="inlineStr">
        <is>
          <t>Aucun @font-face, aucun fichier, aucun chargement externe : le rendu retombe silencieusement sur DM Sans. La documentation du projet présente pourtant Orbitron comme une des trois polices de l'identité.</t>
        </is>
      </c>
      <c r="J9" s="20" t="inlineStr">
        <is>
          <t>L'identité typographique décrite n'existe pas à l'écran. Aucun coût de performance (rien n'est téléchargé).</t>
        </is>
      </c>
      <c r="K9" s="20" t="inlineStr">
        <is>
          <t>Trancher : héberger Orbitron en woff2 local comme les autres, ou retirer la mention des piles de polices et de la documentation.</t>
        </is>
      </c>
      <c r="L9" s="19" t="inlineStr">
        <is>
          <t>S</t>
        </is>
      </c>
      <c r="M9" s="19" t="n">
        <v>21</v>
      </c>
      <c r="N9" s="20" t="inlineStr">
        <is>
          <t>font-family: 'Orbitron', 'DM Sans', sans-serif; — grep « Orbitron » dans css/fonts.css : 0 ; ls frontend/fonts/ : BarlowCondensed-400/500/600/700.woff2 et DMSans.woff2 uniquement ; aucun appel à un service de polices distant</t>
        </is>
      </c>
    </row>
  </sheetData>
  <autoFilter ref="A4:N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4. JavaScript</t>
        </is>
      </c>
    </row>
    <row r="2">
      <c r="A2" s="2" t="inlineStr">
        <is>
          <t>3 constat(s) · score 94 → 100/100 · 3 corrigé(s), 0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JS-01</t>
        </is>
      </c>
      <c r="B5" s="19" t="inlineStr">
        <is>
          <t>4. JavaScript</t>
        </is>
      </c>
      <c r="C5" s="20" t="inlineStr">
        <is>
          <t>10 vulnérabilités connues dans les dépendances de production, dont 3 « high »</t>
        </is>
      </c>
      <c r="D5" s="21" t="inlineStr">
        <is>
          <t>Majeur</t>
        </is>
      </c>
      <c r="E5" s="26" t="inlineStr">
        <is>
          <t>Corrigé</t>
        </is>
      </c>
      <c r="F5" s="20" t="inlineStr">
        <is>
          <t>npm audit fix (ip-address, brace-expansion, qs, body-parser) puis nodemailer 8.0.7 → 10.0.1. L'API utilisée par mailer.js — createTransport et sendMail — est inchangée, vérifiée au chargement et par les 555 tests. npm audit --omit=dev : 0 vulnérabilité.</t>
        </is>
      </c>
      <c r="G5" s="20" t="inlineStr">
        <is>
          <t>backend/package.json</t>
        </is>
      </c>
      <c r="H5" s="19" t="inlineStr">
        <is>
          <t>—</t>
        </is>
      </c>
      <c r="I5" s="20" t="inlineStr">
        <is>
          <t>La documentation du projet affirme que « npm audit --omit=dev reste clean » : ce n'est plus le cas. Les paquets racine (5 vulnérabilités) et frontend (5) sont en dev uniquement.</t>
        </is>
      </c>
      <c r="J5" s="20" t="inlineStr">
        <is>
          <t>nodemailer : les CVE visent jsonTransport, l'option raw et les en-têtes List-*, qu'aucun code du projet n'utilise — risque latent, pas immédiat. ip-address : une IP forgée mal classifiée pourrait contourner la clé de limitation de débit du login, donc faciliter une attaque par force brute. À confirmer par un test dédié.</t>
        </is>
      </c>
      <c r="K5" s="20" t="inlineStr">
        <is>
          <t>npm audit fix pour les correctifs non cassants (ip-address, brace-expansion, qs, body-parser), puis planifier séparément nodemailer 8.x → 10.x (changement cassant : vérifier createTransport et sendMail).</t>
        </is>
      </c>
      <c r="L5" s="19" t="inlineStr">
        <is>
          <t>M</t>
        </is>
      </c>
      <c r="M5" s="19" t="n">
        <v>6</v>
      </c>
      <c r="N5" s="20" t="inlineStr">
        <is>
          <t>npm audit --omit=dev : {low: 1, moderate: 6, high: 3, total: 10}. High : nodemailer &lt;=9.0.0 (installé 8.0.7), ip-address &lt;=10.3.0 (via express-rate-limit), brace-expansion (via @sentry/node → @fastify/otel → minimatch). Moderate : qs, @opentelemetry/* ×4, uuid/hyperid. Low : body-parser.</t>
        </is>
      </c>
    </row>
    <row r="6" ht="62" customHeight="1">
      <c r="A6" s="18" t="inlineStr">
        <is>
          <t>JS-02</t>
        </is>
      </c>
      <c r="B6" s="19" t="inlineStr">
        <is>
          <t>4. JavaScript</t>
        </is>
      </c>
      <c r="C6" s="20" t="inlineStr">
        <is>
          <t>Une erreur 401 est journalisée en console à chaque visite anonyme</t>
        </is>
      </c>
      <c r="D6" s="24" t="inlineStr">
        <is>
          <t>Info</t>
        </is>
      </c>
      <c r="E6" s="26" t="inlineStr">
        <is>
          <t>Corrigé</t>
        </is>
      </c>
      <c r="F6" s="20" t="inlineStr">
        <is>
          <t>backend/middleware/auth.js — témoin de session vh_session (non httpOnly, non sensible, même durée que le refresh token) posé et effacé avec lui ; frontend/js/auth.js le consulte avant de tenter un rafraîchissement. Lighthouse bonnes pratiques : 96 → 100.</t>
        </is>
      </c>
      <c r="G6" s="20" t="inlineStr">
        <is>
          <t>frontend/js/auth.js</t>
        </is>
      </c>
      <c r="H6" s="19" t="inlineStr">
        <is>
          <t>—</t>
        </is>
      </c>
      <c r="I6" s="20" t="inlineStr">
        <is>
          <t>La tentative de rafraîchissement de session d'un visiteur non connecté produit un 401 attendu, mais visible en console.</t>
        </is>
      </c>
      <c r="J6" s="20" t="inlineStr">
        <is>
          <t>Aucun effet fonctionnel. Bruit qui masque de vraies erreurs pendant le débogage, et pénalise le score « bonnes pratiques ».</t>
        </is>
      </c>
      <c r="K6" s="20" t="inlineStr">
        <is>
          <t>Ne tenter le rafraîchissement que si un indice de session existe, ou traiter le 401 sans le laisser remonter en erreur réseau.</t>
        </is>
      </c>
      <c r="L6" s="19" t="inlineStr">
        <is>
          <t>S</t>
        </is>
      </c>
      <c r="M6" s="19" t="n">
        <v>32</v>
      </c>
      <c r="N6" s="20" t="inlineStr">
        <is>
          <t>Lighthouse errors-in-console (score 0) : « Failed to load resource: the server responded with a status of 401 (Unauthorized) ». Reproduit sur toutes les pages en navigation anonyme.</t>
        </is>
      </c>
    </row>
    <row r="7" ht="62" customHeight="1">
      <c r="A7" s="18" t="inlineStr">
        <is>
          <t>JS-03</t>
        </is>
      </c>
      <c r="B7" s="19" t="inlineStr">
        <is>
          <t>4. JavaScript</t>
        </is>
      </c>
      <c r="C7" s="20" t="inlineStr">
        <is>
          <t>L'appareil du jour change si le catalogue change dans la journée</t>
        </is>
      </c>
      <c r="D7" s="24" t="inlineStr">
        <is>
          <t>Info</t>
        </is>
      </c>
      <c r="E7" s="26" t="inlineStr">
        <is>
          <t>Corrigé</t>
        </is>
      </c>
      <c r="F7" s="20" t="inlineStr">
        <is>
          <t>frontend/js/home/hero-daily.js — pickDaily retient l'appareil dont hash(jour + identifiant) est minimal, au lieu d'un index modulo la longueur. Trois tests ajoutés, dont la stabilité sur 28 jours quand le catalogue passe de 383 à 387 fiches.</t>
        </is>
      </c>
      <c r="G7" s="20" t="inlineStr">
        <is>
          <t>frontend/js/home/hero-daily.js</t>
        </is>
      </c>
      <c r="H7" s="19" t="inlineStr">
        <is>
          <t>47-50</t>
        </is>
      </c>
      <c r="I7" s="20" t="inlineStr">
        <is>
          <t>Le tirage est un index modulo la longueur de la liste : ajouter ou retirer une fiche décale tous les index.</t>
        </is>
      </c>
      <c r="J7" s="20" t="inlineStr">
        <is>
          <t>Faible — le catalogue évolue par lots. Un lien partagé « l'appareil du jour » peut toutefois ne plus correspondre.</t>
        </is>
      </c>
      <c r="K7" s="20" t="inlineStr">
        <is>
          <t>Tirer sur l'identifiant plutôt que sur la position : choisir l'appareil dont hash(id + jour) est minimal, stable à l'ajout d'une fiche.</t>
        </is>
      </c>
      <c r="L7" s="19" t="inlineStr">
        <is>
          <t>S</t>
        </is>
      </c>
      <c r="M7" s="19" t="n">
        <v>33</v>
      </c>
      <c r="N7" s="20" t="inlineStr">
        <is>
          <t>return hashSeed(dayKey) % length; — observé pendant l'audit : l'appareil du jour est passé de sea-harrier à h6 après l'insertion de 4 fiches par le seed E2E</t>
        </is>
      </c>
    </row>
  </sheetData>
  <autoFilter ref="A4:N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2"/>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5. Performance</t>
        </is>
      </c>
    </row>
    <row r="2">
      <c r="A2" s="2" t="inlineStr">
        <is>
          <t>8 constat(s) · score 82 → 94/100 · 5 corrigé(s), 3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PERF-08</t>
        </is>
      </c>
      <c r="B5" s="19" t="inlineStr">
        <is>
          <t>5. Performance</t>
        </is>
      </c>
      <c r="C5" s="20" t="inlineStr">
        <is>
          <t>Le LCP reste à 4,2 s, désormais bloqué par le rendu du titre</t>
        </is>
      </c>
      <c r="D5" s="21" t="inlineStr">
        <is>
          <t>Majeur</t>
        </is>
      </c>
      <c r="E5" s="22" t="inlineStr">
        <is>
          <t>Ouvert</t>
        </is>
      </c>
      <c r="F5" s="20" t="inlineStr">
        <is>
          <t>—</t>
        </is>
      </c>
      <c r="G5" s="20" t="inlineStr">
        <is>
          <t>frontend/index.html</t>
        </is>
      </c>
      <c r="H5" s="19" t="inlineStr">
        <is>
          <t>105-112</t>
        </is>
      </c>
      <c r="I5" s="20" t="inlineStr">
        <is>
          <t>La conversion de l'image du quiz en AVIF (PERF-02) a bien sorti l'image de la position LCP — c'est maintenant le titre de l'accueil. Mais le temps total n'a pas bougé : le retard s'est déplacé du chargement de l'image vers le rendu du titre, où il représente 89 % du délai.</t>
        </is>
      </c>
      <c r="J5" s="20" t="inlineStr">
        <is>
          <t>Seul indicateur Core Web Vitals dans le rouge. Les autres sont bons : CLS 0,000 et TBT 55 ms après correctifs.</t>
        </is>
      </c>
      <c r="K5" s="20" t="inlineStr">
        <is>
          <t>Investiguer séparément. Deux pistes à mesurer : l'animation .gradient-text de style-hero-split.css, dont le fill-mode both et le délai de 0,7 s laissent le texte transparent au premier rendu ; et le remplacement de texte opéré par i18n.js après chargement des locales, qui redéclenche une candidature LCP.</t>
        </is>
      </c>
      <c r="L5" s="19" t="inlineStr">
        <is>
          <t>M</t>
        </is>
      </c>
      <c r="M5" s="19" t="n">
        <v>1</v>
      </c>
      <c r="N5" s="20" t="inlineStr">
        <is>
          <t>Lighthouse 12.8.2 après correctifs, décomposition du LCP : TTFB 454 ms (11 %), Load Delay 0 ms, Load Time 0 ms, Render Delay 3754 ms (89 %). Élément : h1.hero-split-title. Mesure reproductible à 1 ms près sur trois exécutions (4207 / 4208 / 4208 ms).</t>
        </is>
      </c>
    </row>
    <row r="6" ht="62" customHeight="1">
      <c r="A6" s="18" t="inlineStr">
        <is>
          <t>PERF-06</t>
        </is>
      </c>
      <c r="B6" s="19" t="inlineStr">
        <is>
          <t>5. Performance</t>
        </is>
      </c>
      <c r="C6" s="20" t="inlineStr">
        <is>
          <t>430 ms de CSS bloquant le rendu sur l'accueil</t>
        </is>
      </c>
      <c r="D6" s="24" t="inlineStr">
        <is>
          <t>Info</t>
        </is>
      </c>
      <c r="E6" s="22" t="inlineStr">
        <is>
          <t>Ouvert</t>
        </is>
      </c>
      <c r="F6" s="20" t="inlineStr">
        <is>
          <t>—</t>
        </is>
      </c>
      <c r="G6" s="20" t="inlineStr">
        <is>
          <t>frontend/index.html</t>
        </is>
      </c>
      <c r="H6" s="19" t="inlineStr">
        <is>
          <t>42-43</t>
        </is>
      </c>
      <c r="I6" s="20" t="inlineStr">
        <is>
          <t>Deux feuilles bloquantes dans le &lt;head&gt;, de tailles raisonnables ; le coût vient surtout de la latence.</t>
        </is>
      </c>
      <c r="J6" s="20" t="inlineStr">
        <is>
          <t>Retarde le premier rendu, mais FCP mesuré à 1,2 s (score 0,99).</t>
        </is>
      </c>
      <c r="K6" s="20" t="inlineStr">
        <is>
          <t>Optionnel : inliner le CSS critique du hero et charger le reste en asynchrone.</t>
        </is>
      </c>
      <c r="L6" s="19" t="inlineStr">
        <is>
          <t>M</t>
        </is>
      </c>
      <c r="M6" s="19" t="n">
        <v>27</v>
      </c>
      <c r="N6" s="20" t="inlineStr">
        <is>
          <t>Lighthouse render-blocking-resources : home.min.css 307 ms (10 Ko) + core.min.css 157 ms (13 Ko)</t>
        </is>
      </c>
    </row>
    <row r="7" ht="62" customHeight="1">
      <c r="A7" s="18" t="inlineStr">
        <is>
          <t>PERF-07</t>
        </is>
      </c>
      <c r="B7" s="19" t="inlineStr">
        <is>
          <t>5. Performance</t>
        </is>
      </c>
      <c r="C7" s="20" t="inlineStr">
        <is>
          <t>119 Mo d'images dans le dépôt, en triple exemplaire</t>
        </is>
      </c>
      <c r="D7" s="24" t="inlineStr">
        <is>
          <t>Info</t>
        </is>
      </c>
      <c r="E7" s="22" t="inlineStr">
        <is>
          <t>Ouvert</t>
        </is>
      </c>
      <c r="F7" s="20" t="inlineStr">
        <is>
          <t>—</t>
        </is>
      </c>
      <c r="G7" s="20" t="inlineStr">
        <is>
          <t>frontend/assets/airplanes/</t>
        </is>
      </c>
      <c r="H7" s="19" t="inlineStr">
        <is>
          <t>—</t>
        </is>
      </c>
      <c r="I7" s="20" t="inlineStr">
        <is>
          <t>Les trois formats coexistent, ce qui est nécessaire au &lt;picture&gt; avec repli. Le JPEG de repli reste le plus lourd des trois.</t>
        </is>
      </c>
      <c r="J7" s="20" t="inlineStr">
        <is>
          <t>Poids de dépôt et de déploiement, sans effet sur le visiteur (qui ne télécharge qu'un format).</t>
        </is>
      </c>
      <c r="K7" s="20" t="inlineStr">
        <is>
          <t>Aucune action requise. À surveiller si le catalogue double : envisager un stockage d'objets plutôt que le dépôt Git.</t>
        </is>
      </c>
      <c r="L7" s="19" t="inlineStr">
        <is>
          <t>L</t>
        </is>
      </c>
      <c r="M7" s="19" t="n">
        <v>28</v>
      </c>
      <c r="N7" s="20" t="inlineStr">
        <is>
          <t>du : 383 JPEG (54,8 Mo) + 383 WebP (38,3 Mo) + 383 AVIF (22,5 Mo) = 115,6 Mo ; plus lourde : t6-texan2.jpg (468 Ko)</t>
        </is>
      </c>
    </row>
    <row r="8" ht="62" customHeight="1">
      <c r="A8" s="18" t="inlineStr">
        <is>
          <t>PERF-01</t>
        </is>
      </c>
      <c r="B8" s="19" t="inlineStr">
        <is>
          <t>5. Performance</t>
        </is>
      </c>
      <c r="C8" s="20" t="inlineStr">
        <is>
          <t>Trois images sont préchargées en priorité haute et ne sont affichées nulle part</t>
        </is>
      </c>
      <c r="D8" s="21" t="inlineStr">
        <is>
          <t>Majeur</t>
        </is>
      </c>
      <c r="E8" s="26" t="inlineStr">
        <is>
          <t>Corrigé</t>
        </is>
      </c>
      <c r="F8" s="20" t="inlineStr">
        <is>
          <t>frontend/js/script.js — bloc preloadImages supprimé (14 lignes). Les trois fichiers ne figuraient nulle part ailleurs dans le HTML ou le JS.</t>
        </is>
      </c>
      <c r="G8" s="20" t="inlineStr">
        <is>
          <t>frontend/js/script.js</t>
        </is>
      </c>
      <c r="H8" s="19" t="inlineStr">
        <is>
          <t>134-147</t>
        </is>
      </c>
      <c r="I8" s="20" t="inlineStr">
        <is>
          <t>Elles sont injectées en &lt;link rel=preload as=image&gt; sur l'accueil, qui affiche en réalité rafale, f22-raptor et mig29.</t>
        </is>
      </c>
      <c r="J8" s="20" t="inlineStr">
        <is>
          <t>≈348 Ko téléchargés en priorité haute à chaque visite de l'accueil, pour rien, en concurrence directe avec l'élément LCP mesuré à 4,1 s.</t>
        </is>
      </c>
      <c r="K8" s="20" t="inlineStr">
        <is>
          <t>Supprimer le bloc lignes 134-147. Si un préchargement est souhaité, le cibler sur l'image réellement en LCP.</t>
        </is>
      </c>
      <c r="L8" s="19" t="inlineStr">
        <is>
          <t>S</t>
        </is>
      </c>
      <c r="M8" s="19" t="n">
        <v>2</v>
      </c>
      <c r="N8" s="20" t="inlineStr">
        <is>
          <t>const preloadImages = ['/assets/airplanes/f16-fighting-falcon.jpg', '/assets/airplanes/mig21.jpg', '/assets/airplanes/su27.jpg']; — recherche sur tout frontend/*.html et frontend/js/**/*.js : ces trois noms n'apparaissent nulle part ailleurs. Lighthouse les chiffre à 120 + 117 + 111 Ko.</t>
        </is>
      </c>
    </row>
    <row r="9" ht="62" customHeight="1">
      <c r="A9" s="18" t="inlineStr">
        <is>
          <t>PERF-02</t>
        </is>
      </c>
      <c r="B9" s="19" t="inlineStr">
        <is>
          <t>5. Performance</t>
        </is>
      </c>
      <c r="C9" s="20" t="inlineStr">
        <is>
          <t>L'élément LCP est une image JPEG servie sans AVIF ni WebP</t>
        </is>
      </c>
      <c r="D9" s="21" t="inlineStr">
        <is>
          <t>Majeur</t>
        </is>
      </c>
      <c r="E9" s="26" t="inlineStr">
        <is>
          <t>Corrigé</t>
        </is>
      </c>
      <c r="F9" s="20" t="inlineStr">
        <is>
          <t>frontend/js/script.js — l'image du quiz passe par VH.shared.picture.applySourcesTo(), comme le hero de fiche. Effet mesuré : économies d'images potentielles 536 → 239 Kio, et l'élément LCP n'est plus l'image.</t>
        </is>
      </c>
      <c r="G9" s="20" t="inlineStr">
        <is>
          <t>frontend/index.html</t>
        </is>
      </c>
      <c r="H9" s="19" t="inlineStr">
        <is>
          <t>164 (et frontend/js/script.js:469)</t>
        </is>
      </c>
      <c r="I9" s="20" t="inlineStr">
        <is>
          <t>Le projet génère pourtant .avif et .webp pour les 383 fiches et dispose du helper VH.shared.picture, utilisé par card.js:41, timeline.js:86 et details/render.js:45. L'image du quiz est le seul visuel majeur resté en &lt;img&gt; JPEG nu.</t>
        </is>
      </c>
      <c r="J9" s="20" t="inlineStr">
        <is>
          <t>LCP à 4,1 s en émulation mobile : seul indicateur Core Web Vitals dans le rouge (CLS 0,005 et TBT 90 ms sont excellents).</t>
        </is>
      </c>
      <c r="K9" s="20" t="inlineStr">
        <is>
          <t>Appliquer VH.shared.picture.applySourcesTo() à #hero-quiz-image, comme details/render.js:45 le fait pour le hero de fiche.</t>
        </is>
      </c>
      <c r="L9" s="19" t="inlineStr">
        <is>
          <t>S</t>
        </is>
      </c>
      <c r="M9" s="19" t="n">
        <v>3</v>
      </c>
      <c r="N9" s="20" t="inlineStr">
        <is>
          <t>Lighthouse 12.8.2 : LCP = 4,1 s (score 0,46), élément = aside.hero-aside-stack &gt; article#hero-quiz-card &gt; … &gt; IMG. index.html:164 = &lt;img class="hero-quiz-image" … src="/assets/airplanes/f15-eagle.jpg"&gt; ; script.js:469 = image.src = current.image_url. Audit modern-image-formats : 536 Kio d'économie estimée.</t>
        </is>
      </c>
    </row>
    <row r="10" ht="62" customHeight="1">
      <c r="A10" s="18" t="inlineStr">
        <is>
          <t>PERF-05</t>
        </is>
      </c>
      <c r="B10" s="19" t="inlineStr">
        <is>
          <t>5. Performance</t>
        </is>
      </c>
      <c r="C10" s="20" t="inlineStr">
        <is>
          <t>Le sous-ensemble d'icônes pèse 79 % du bundle partagé</t>
        </is>
      </c>
      <c r="D10" s="23" t="inlineStr">
        <is>
          <t>Mineur</t>
        </is>
      </c>
      <c r="E10" s="26" t="inlineStr">
        <is>
          <t>Corrigé</t>
        </is>
      </c>
      <c r="F10" s="20" t="inlineStr">
        <is>
          <t>scripts/build-js.js — icons.js sort du bundle commun vers icons.min.js, chargé en defer sur les 16 pages. app.min.js : 111,6 → 27,5 Ko. Choix validé par A/B Lighthouse (2 exécutions par variante) : séparé donne 4207 ms de LCP contre 4430 ms fusionné.</t>
        </is>
      </c>
      <c r="G10" s="20" t="inlineStr">
        <is>
          <t>frontend/js/icons.js</t>
        </is>
      </c>
      <c r="H10" s="19" t="inlineStr">
        <is>
          <t>—</t>
        </is>
      </c>
      <c r="I10" s="20" t="inlineStr">
        <is>
          <t>Les 164 icônes SVG sont embarquées dans le bundle commun, alors qu'aucune page ne les utilise toutes.</t>
        </is>
      </c>
      <c r="J10" s="20" t="inlineStr">
        <is>
          <t>Poids constant sur le chemin critique de chaque page du site.</t>
        </is>
      </c>
      <c r="K10" s="20" t="inlineStr">
        <is>
          <t>Sortir icons.js du bundle commun et le charger en différé, ou générer un sous-ensemble par page (build-icons.py connaît déjà les classes utilisées).</t>
        </is>
      </c>
      <c r="L10" s="19" t="inlineStr">
        <is>
          <t>M</t>
        </is>
      </c>
      <c r="M10" s="19" t="n">
        <v>11</v>
      </c>
      <c r="N10" s="20" t="inlineStr">
        <is>
          <t>icons.js = 87,8 Ko de source ; app.min.js = 111,6 Ko minifié, chargé sur toutes les pages</t>
        </is>
      </c>
    </row>
    <row r="11" ht="62" customHeight="1">
      <c r="A11" s="18" t="inlineStr">
        <is>
          <t>PERF-03</t>
        </is>
      </c>
      <c r="B11" s="19" t="inlineStr">
        <is>
          <t>5. Performance</t>
        </is>
      </c>
      <c r="C11" s="20" t="inlineStr">
        <is>
          <t>Le préchargement d'image du &lt;head&gt; ne vise pas l'élément LCP</t>
        </is>
      </c>
      <c r="D11" s="23" t="inlineStr">
        <is>
          <t>Mineur</t>
        </is>
      </c>
      <c r="E11" s="26" t="inlineStr">
        <is>
          <t>Corrigé</t>
        </is>
      </c>
      <c r="F11" s="20" t="inlineStr">
        <is>
          <t>frontend/index.html:41 — le &lt;link rel=preload&gt; de rafale.avif est retiré, avec un commentaire expliquant pourquoi l'élément LCP de cette page ne peut pas être préchargé : il dépend d'un appel API.</t>
        </is>
      </c>
      <c r="G11" s="20" t="inlineStr">
        <is>
          <t>frontend/index.html</t>
        </is>
      </c>
      <c r="H11" s="19" t="inlineStr">
        <is>
          <t>41</t>
        </is>
      </c>
      <c r="I11" s="20" t="inlineStr">
        <is>
          <t>La priorité réseau est donnée à une image qui n'est pas celle qui décide du LCP.</t>
        </is>
      </c>
      <c r="J11" s="20" t="inlineStr">
        <is>
          <t>Bande passante prioritaire mal allouée au premier rendu.</t>
        </is>
      </c>
      <c r="K11" s="20" t="inlineStr">
        <is>
          <t>À traiter avec PERF-02 ; le LCP dépendant d'un appel API, viser d'abord la conversion AVIF.</t>
        </is>
      </c>
      <c r="L11" s="19" t="inlineStr">
        <is>
          <t>S</t>
        </is>
      </c>
      <c r="M11" s="19" t="n">
        <v>13</v>
      </c>
      <c r="N11" s="20" t="inlineStr">
        <is>
          <t>&lt;link rel="preload" as="image" href="/assets/airplanes/rafale.avif" … fetchpriority="high"&gt; — or rafale.avif est l'image de la première carte « Avions en vedette » (l.202), plus bas dans la page</t>
        </is>
      </c>
    </row>
    <row r="12" ht="62" customHeight="1">
      <c r="A12" s="18" t="inlineStr">
        <is>
          <t>PERF-04</t>
        </is>
      </c>
      <c r="B12" s="19" t="inlineStr">
        <is>
          <t>5. Performance</t>
        </is>
      </c>
      <c r="C12" s="20" t="inlineStr">
        <is>
          <t>Cache navigateur d'un jour sur des URL déjà versionnées</t>
        </is>
      </c>
      <c r="D12" s="23" t="inlineStr">
        <is>
          <t>Mineur</t>
        </is>
      </c>
      <c r="E12" s="26" t="inlineStr">
        <is>
          <t>Corrigé</t>
        </is>
      </c>
      <c r="F12" s="20" t="inlineStr">
        <is>
          <t>backend/app.js — les .css et .js, dont l'URL porte déjà ?v=&lt;version&gt;, passent en max-age=31536000, immutable ; les images gardent la journée. Lighthouse : ressources à cache court 21 → 10. Trois tests d'en-têtes mis à jour.</t>
        </is>
      </c>
      <c r="G12" s="20" t="inlineStr">
        <is>
          <t>backend/app.js</t>
        </is>
      </c>
      <c r="H12" s="19" t="inlineStr">
        <is>
          <t>303</t>
        </is>
      </c>
      <c r="I12" s="20" t="inlineStr">
        <is>
          <t>Le commentaire du code qualifie ces fichiers de « statiques fingerprintables », mais ils n'obtiennent qu'un jour de cache.</t>
        </is>
      </c>
      <c r="J12" s="20" t="inlineStr">
        <is>
          <t>Revalidation quotidienne inutile de 111 Ko d'app.min.js et des feuilles de style pour les visiteurs récurrents.</t>
        </is>
      </c>
      <c r="K12" s="20" t="inlineStr">
        <is>
          <t>Servir les fichiers portant ?v= avec max-age=31536000, immutable ; conserver le cache court pour les assets non versionnés.</t>
        </is>
      </c>
      <c r="L12" s="19" t="inlineStr">
        <is>
          <t>S</t>
        </is>
      </c>
      <c r="M12" s="19" t="n">
        <v>14</v>
      </c>
      <c r="N12" s="20" t="inlineStr">
        <is>
          <t>res.setHeader('Cache-Control', 'public, max-age=86400, s-maxage=604800'); — Lighthouse : « uses-long-cache-ttl : 21 resources found ». Les URL servies portent pourtant ?v=4.9.0 (vérifié dans le HTML rendu).</t>
        </is>
      </c>
    </row>
  </sheetData>
  <autoFilter ref="A4:N1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18"/>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6. Accessibilité</t>
        </is>
      </c>
    </row>
    <row r="2">
      <c r="A2" s="2" t="inlineStr">
        <is>
          <t>14 constat(s) · score 41 → 100/100 · 14 corrigé(s), 0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A11Y-01</t>
        </is>
      </c>
      <c r="B5" s="19" t="inlineStr">
        <is>
          <t>6. Accessibilité</t>
        </is>
      </c>
      <c r="C5" s="20" t="inlineStr">
        <is>
          <t>Le lien d'évitement du hangar ne mène nulle part, et la page n'a aucun &lt;main&gt;</t>
        </is>
      </c>
      <c r="D5" s="25" t="inlineStr">
        <is>
          <t>Critique</t>
        </is>
      </c>
      <c r="E5" s="26" t="inlineStr">
        <is>
          <t>Corrigé</t>
        </is>
      </c>
      <c r="F5" s="20" t="inlineStr">
        <is>
          <t>frontend/hangar.html:137 — &lt;section class="hangar-content"&gt; devient &lt;main id="main-content" class="hangar-content"&gt;, fermeture ajustée ligne 195. Le lien d'évitement pointe enfin sur une ancre existante.</t>
        </is>
      </c>
      <c r="G5" s="20" t="inlineStr">
        <is>
          <t>frontend/hangar.html</t>
        </is>
      </c>
      <c r="H5" s="19" t="inlineStr">
        <is>
          <t>70</t>
        </is>
      </c>
      <c r="I5" s="20" t="inlineStr">
        <is>
          <t>Le contenu principal est une &lt;section class="hangar-content"&gt; (l.137) sans id ni rôle. Le premier élément focusable de la page pointe vers une ancre inexistante.</t>
        </is>
      </c>
      <c r="J5" s="20" t="inlineStr">
        <is>
          <t>Sur la page la plus utilisée du site, les utilisateurs clavier et lecteur d'écran n'ont aucun moyen de contourner l'en-tête et la navigation, et aucune région principale à cibler. Échec WCAG 2.4.1 (niveau A) et 1.3.1.</t>
        </is>
      </c>
      <c r="K5" s="20" t="inlineStr">
        <is>
          <t>Ajouter id="main-content" sur la section, ou l'englober dans &lt;main id="main-content"&gt;. Une ligne.</t>
        </is>
      </c>
      <c r="L5" s="19" t="inlineStr">
        <is>
          <t>S</t>
        </is>
      </c>
      <c r="M5" s="19" t="n">
        <v>1</v>
      </c>
      <c r="N5" s="20" t="inlineStr">
        <is>
          <t>&lt;a href="#main-content" class="skip-link"&gt;Aller au contenu&lt;/a&gt; — c'est la SEULE occurrence de « main-content » du fichier ; grep « &lt;main » sur hangar.html : 0 résultat. Les 10 autres pages complètes ont bien &lt;main id="main-content"&gt; (index.html:103, details.html:201, settings.html:71…).</t>
        </is>
      </c>
    </row>
    <row r="6" ht="62" customHeight="1">
      <c r="A6" s="18" t="inlineStr">
        <is>
          <t>A11Y-02</t>
        </is>
      </c>
      <c r="B6" s="19" t="inlineStr">
        <is>
          <t>6. Accessibilité</t>
        </is>
      </c>
      <c r="C6" s="20" t="inlineStr">
        <is>
          <t>Contraste insuffisant sur 6 libellés de la page Paramètres</t>
        </is>
      </c>
      <c r="D6" s="21" t="inlineStr">
        <is>
          <t>Majeur</t>
        </is>
      </c>
      <c r="E6" s="26" t="inlineStr">
        <is>
          <t>Corrigé</t>
        </is>
      </c>
      <c r="F6" s="20" t="inlineStr">
        <is>
          <t>frontend/css/settings.css:61 — .link-description passe à rgba(255,255,255,0.55), soit 6,2:1 mesuré. tokens.css — nouveau --accent-text #E74C3C (4,9:1) utilisé par .danger-link, l'ancien --accent restant pour les fonds et bordures.</t>
        </is>
      </c>
      <c r="G6" s="20" t="inlineStr">
        <is>
          <t>frontend/css/settings.css</t>
        </is>
      </c>
      <c r="H6" s="19" t="inlineStr">
        <is>
          <t>61 et 54</t>
        </is>
      </c>
      <c r="I6" s="20" t="inlineStr">
        <is>
          <t>Seule violation relevée par axe sur les 11 pages testées. Concerne les descriptions de la barre latérale et l'entrée « zone de danger ».</t>
        </is>
      </c>
      <c r="J6" s="20" t="inlineStr">
        <is>
          <t>Texte difficilement lisible pour les personnes malvoyantes ou sur écran peu contrasté. Échec WCAG 1.4.3 niveau AA.</t>
        </is>
      </c>
      <c r="K6" s="20" t="inlineStr">
        <is>
          <t>.link-description à rgba(255,255,255,0.55) (≈4,6:1) ; éclaircir l'accent rouge pour cet usage sur fond sombre (#e74c3c donne ≈4,6:1).</t>
        </is>
      </c>
      <c r="L6" s="19" t="inlineStr">
        <is>
          <t>S</t>
        </is>
      </c>
      <c r="M6" s="19" t="n">
        <v>4</v>
      </c>
      <c r="N6" s="20" t="inlineStr">
        <is>
          <t>axe-core 4.13.0 : 6 occurrences de color-contrast. Ratios mesurés 3,19:1 / 3,21:1 (#656565 sur #121212, 12,8 px) et 3,44:1 (#c0392b sur #121212, 15,2 px) pour un minimum de 4,5:1. settings.css:61 = .link-description { color: rgba(255,255,255,0.35) } ; settings.css:54 = .sidebar-link.danger-link { color: var(--accent) }</t>
        </is>
      </c>
    </row>
    <row r="7" ht="62" customHeight="1">
      <c r="A7" s="18" t="inlineStr">
        <is>
          <t>A11Y-14</t>
        </is>
      </c>
      <c r="B7" s="19" t="inlineStr">
        <is>
          <t>6. Accessibilité</t>
        </is>
      </c>
      <c r="C7" s="20" t="inlineStr">
        <is>
          <t>Cases du comparateur à 18 × 18 px sur les cartes du hangar</t>
        </is>
      </c>
      <c r="D7" s="21" t="inlineStr">
        <is>
          <t>Majeur</t>
        </is>
      </c>
      <c r="E7" s="26" t="inlineStr">
        <is>
          <t>Corrigé</t>
        </is>
      </c>
      <c r="F7" s="20" t="inlineStr">
        <is>
          <t>frontend/css/hangar.css — les trois règles de .compare-check input passent à 24 × 24 px (vue grille, vue liste et palier mobile).</t>
        </is>
      </c>
      <c r="G7" s="20" t="inlineStr">
        <is>
          <t>frontend/css/hangar.css</t>
        </is>
      </c>
      <c r="H7" s="19" t="inlineStr">
        <is>
          <t>441-460</t>
        </is>
      </c>
      <c r="I7" s="20" t="inlineStr">
        <is>
          <t>Constat absent du premier passage : les cartes n'étaient pas rendues au moment où axe a analysé le hangar, faute de données en base locale. Le second passage, avec un catalogue peuplé, l'a fait apparaître.</t>
        </is>
      </c>
      <c r="J7" s="20" t="inlineStr">
        <is>
          <t>Cible sous le minimum de 24 × 24 px du critère WCAG 2.5.8, sur une action fréquente et répétée : sélectionner des appareils à comparer.</t>
        </is>
      </c>
      <c r="K7" s="20" t="inlineStr">
        <is>
          <t>Fixer width et height à 24 px sur .compare-check input, dans les trois contextes (grille, liste, mobile).</t>
        </is>
      </c>
      <c r="L7" s="19" t="inlineStr">
        <is>
          <t>S</t>
        </is>
      </c>
      <c r="M7" s="19" t="n">
        <v>5</v>
      </c>
      <c r="N7" s="20" t="inlineStr">
        <is>
          <t>axe-core, passe de vérification : 3 occurrences de target-size sur input[data-compare-id]. La taille par défaut du navigateur (18 px) s'appliquait, aucune règle ne la fixant.</t>
        </is>
      </c>
    </row>
    <row r="8" ht="62" customHeight="1">
      <c r="A8" s="18" t="inlineStr">
        <is>
          <t>A11Y-03</t>
        </is>
      </c>
      <c r="B8" s="19" t="inlineStr">
        <is>
          <t>6. Accessibilité</t>
        </is>
      </c>
      <c r="C8" s="20" t="inlineStr">
        <is>
          <t>L'indicateur de focus est quasi invisible sur les champs de recherche et de formulaire</t>
        </is>
      </c>
      <c r="D8" s="21" t="inlineStr">
        <is>
          <t>Majeur</t>
        </is>
      </c>
      <c r="E8" s="26" t="inlineStr">
        <is>
          <t>Corrigé</t>
        </is>
      </c>
      <c r="F8" s="20" t="inlineStr">
        <is>
          <t>8 règles alignées (hangar.css:97,144,249 ; favorites.css:210,277 ; settings.css:85,129 ; details.css:373) : bordure de focus portée de 0,2 à 0,45 d'opacité, ombre de 0,04 à 0,12. shared-base.css — anneau :focus-visible explicite (2 px hud-cyan) sur input, select et textarea.</t>
        </is>
      </c>
      <c r="G8" s="20" t="inlineStr">
        <is>
          <t>frontend/css/hangar.css</t>
        </is>
      </c>
      <c r="H8" s="19" t="inlineStr">
        <is>
          <t>97, 144, 249 (+ favorites.css:210,277 ; settings.css:85,129 ; details.css:373)</t>
        </is>
      </c>
      <c r="I8" s="20" t="inlineStr">
        <is>
          <t>Ces règles suppriment le contour natif sans le remplacer par un indicateur suffisant : une bordure blanche à 20 % d'opacité et une ombre à 4 % sur un fond #141414. Contraste estimé par composition alpha ≈ 1,9:1, contre 3:1 exigé. Estimation calculée, non mesurée à l'écran — la marge reste large. Le reste du projet applique pourtant correctement :focus:not(:focus-visible) (base.css:32-35, login.css:306-322, contact.css:149-157).</t>
        </is>
      </c>
      <c r="J8" s="20" t="inlineStr">
        <is>
          <t>Les utilisateurs clavier perdent la trace du focus sur les champs des pages hangar, favoris, paramètres et fiche. Échec WCAG 2.4.7 et 1.4.11.</t>
        </is>
      </c>
      <c r="K8" s="20" t="inlineStr">
        <is>
          <t>Aligner ces 8 règles sur le motif :focus-visible déjà employé ailleurs dans le projet.</t>
        </is>
      </c>
      <c r="L8" s="19" t="inlineStr">
        <is>
          <t>S</t>
        </is>
      </c>
      <c r="M8" s="19" t="n">
        <v>7</v>
      </c>
      <c r="N8" s="20" t="inlineStr">
        <is>
          <t>input:focus { outline: none; border-color: rgba(255,255,255,0.2); box-shadow: 0 0 0 3px rgba(255,255,255,0.04); } — 8 règles au même motif, sans garde :focus-visible</t>
        </is>
      </c>
    </row>
    <row r="9" ht="62" customHeight="1">
      <c r="A9" s="18" t="inlineStr">
        <is>
          <t>A11Y-04</t>
        </is>
      </c>
      <c r="B9" s="19" t="inlineStr">
        <is>
          <t>6. Accessibilité</t>
        </is>
      </c>
      <c r="C9" s="20" t="inlineStr">
        <is>
          <t>Trois pages perdent leur unique &lt;h1&gt; dans l'état que voit l'utilisateur</t>
        </is>
      </c>
      <c r="D9" s="21" t="inlineStr">
        <is>
          <t>Majeur</t>
        </is>
      </c>
      <c r="E9" s="26" t="inlineStr">
        <is>
          <t>Corrigé</t>
        </is>
      </c>
      <c r="F9" s="20" t="inlineStr">
        <is>
          <t>forgot-password.html:176, reset-password.html:182 et verify-email.html — les titres des états terminaux passent en &lt;h1&gt;. Un seul est visible à la fois, l'autre conteneur étant masqué.</t>
        </is>
      </c>
      <c r="G9" s="20" t="inlineStr">
        <is>
          <t>frontend/forgot-password.html</t>
        </is>
      </c>
      <c r="H9" s="19" t="inlineStr">
        <is>
          <t>157 vs 176 (idem reset-password.html:191/182, verify-email.html:130/138)</t>
        </is>
      </c>
      <c r="I9" s="20" t="inlineStr">
        <is>
          <t>Dans l'état final (succès, erreur, lien invalide) — celui que voit la majorité des utilisateurs — la page n'a plus aucun titre de niveau 1.</t>
        </is>
      </c>
      <c r="J9" s="20" t="inlineStr">
        <is>
          <t>Navigation par titres incohérente pour les lecteurs d'écran. Échec WCAG 1.3.1 / 2.4.6.</t>
        </is>
      </c>
      <c r="K9" s="20" t="inlineStr">
        <is>
          <t>Conserver un conteneur de titre unique dont le niveau ne change pas selon l'état, ou promouvoir les &lt;h2&gt; de succès/erreur en &lt;h1&gt;.</t>
        </is>
      </c>
      <c r="L9" s="19" t="inlineStr">
        <is>
          <t>S</t>
        </is>
      </c>
      <c r="M9" s="19" t="n">
        <v>8</v>
      </c>
      <c r="N9" s="20" t="inlineStr">
        <is>
          <t>Le &lt;h1&gt; est dans #fp-form-section (l.156-157) ; js/forgot-password.js:51-52 fait formSection.style.display = 'none' puis successEl.style.display = 'block', et #fp-success ne contient qu'un &lt;h2&gt; (l.176). Même schéma dans reset-password.js:7-8 et verify-email.js.</t>
        </is>
      </c>
    </row>
    <row r="10" ht="62" customHeight="1">
      <c r="A10" s="18" t="inlineStr">
        <is>
          <t>A11Y-05</t>
        </is>
      </c>
      <c r="B10" s="19" t="inlineStr">
        <is>
          <t>6. Accessibilité</t>
        </is>
      </c>
      <c r="C10" s="20" t="inlineStr">
        <is>
          <t>Boutons de suppression de filtre à 18 × 18 px</t>
        </is>
      </c>
      <c r="D10" s="21" t="inlineStr">
        <is>
          <t>Majeur</t>
        </is>
      </c>
      <c r="E10" s="26" t="inlineStr">
        <is>
          <t>Corrigé</t>
        </is>
      </c>
      <c r="F10" s="20" t="inlineStr">
        <is>
          <t>frontend/css/hangar.css:151 et favorites.css:272 — .remove-filter-btn passe de 18 × 18 à 28 × 28 px.</t>
        </is>
      </c>
      <c r="G10" s="20" t="inlineStr">
        <is>
          <t>frontend/css/hangar.css</t>
        </is>
      </c>
      <c r="H10" s="19" t="inlineStr">
        <is>
          <t>151 (et favorites.css:272)</t>
        </is>
      </c>
      <c r="I10" s="20" t="inlineStr">
        <is>
          <t>Sous le minimum de 24 × 24 px du critère 2.5.8, nouveau en WCAG 2.2. Aucune des exceptions ne s'applique : ce n'est ni un lien en ligne, ni un contrôle natif du navigateur.</t>
        </is>
      </c>
      <c r="J10" s="20" t="inlineStr">
        <is>
          <t>Cible trop petite au doigt et pour les utilisateurs à motricité réduite, sur une action fréquente (retirer un filtre).</t>
        </is>
      </c>
      <c r="K10" s="20" t="inlineStr">
        <is>
          <t>Porter à 28 × 28 px, comme .close-dropdown (hangar.css:171) qui est déjà conforme.</t>
        </is>
      </c>
      <c r="L10" s="19" t="inlineStr">
        <is>
          <t>S</t>
        </is>
      </c>
      <c r="M10" s="19" t="n">
        <v>9</v>
      </c>
      <c r="N10" s="20" t="inlineStr">
        <is>
          <t>.page-hangar .remove-filter-btn { … width: 18px; height: 18px; … } — vrai &lt;button&gt; généré par js/hangar/filters.js:81 et js/favorites.js:385, sans padding compensatoire</t>
        </is>
      </c>
    </row>
    <row r="11" ht="62" customHeight="1">
      <c r="A11" s="18" t="inlineStr">
        <is>
          <t>A11Y-06</t>
        </is>
      </c>
      <c r="B11" s="19" t="inlineStr">
        <is>
          <t>6. Accessibilité</t>
        </is>
      </c>
      <c r="C11" s="20" t="inlineStr">
        <is>
          <t>Deux animations en boucle infinie sans garde prefers-reduced-motion</t>
        </is>
      </c>
      <c r="D11" s="21" t="inlineStr">
        <is>
          <t>Majeur</t>
        </is>
      </c>
      <c r="E11" s="26" t="inlineStr">
        <is>
          <t>Corrigé</t>
        </is>
      </c>
      <c r="F11" s="20" t="inlineStr">
        <is>
          <t>frontend/css/cookies.css et login.css — blocs @media (prefers-reduced-motion: reduce) ajoutés, neutralisant l'icône rebondissante du bandeau et le clignotement des points du radar.</t>
        </is>
      </c>
      <c r="G11" s="20" t="inlineStr">
        <is>
          <t>frontend/css/cookies.css</t>
        </is>
      </c>
      <c r="H11" s="19" t="inlineStr">
        <is>
          <t>62 (et login.css:95)</t>
        </is>
      </c>
      <c r="I11" s="20" t="inlineStr">
        <is>
          <t>Le reste du projet couvre pourtant bien cette préférence (15 feuilles la respectent). Ces deux animations démarrent seules, durent indéfiniment et s'affichent à côté du contenu principal.</t>
        </is>
      </c>
      <c r="J11" s="20" t="inlineStr">
        <is>
          <t>Gêne pour les personnes sensibles au mouvement. Échec WCAG 2.2.2, niveau A.</t>
        </is>
      </c>
      <c r="K11" s="20" t="inlineStr">
        <is>
          <t>@media (prefers-reduced-motion: reduce) { .cookie-icon, .radar-dot { animation: none; } }</t>
        </is>
      </c>
      <c r="L11" s="19" t="inlineStr">
        <is>
          <t>S</t>
        </is>
      </c>
      <c r="M11" s="19" t="n">
        <v>10</v>
      </c>
      <c r="N11" s="20" t="inlineStr">
        <is>
          <t>cookies.css:62 : animation: bounce 2s infinite; (icône du bandeau, affiché sur toutes les pages tant que le consentement n'est pas donné) ; login.css:95 : animation: dotBlink 3s ease-in-out infinite; — grep prefers-reduced-motion : 0 occurrence dans ces deux feuilles</t>
        </is>
      </c>
    </row>
    <row r="12" ht="62" customHeight="1">
      <c r="A12" s="18" t="inlineStr">
        <is>
          <t>A11Y-07</t>
        </is>
      </c>
      <c r="B12" s="19" t="inlineStr">
        <is>
          <t>6. Accessibilité</t>
        </is>
      </c>
      <c r="C12" s="20" t="inlineStr">
        <is>
          <t>Sauts de niveaux de titres sur quatre pages</t>
        </is>
      </c>
      <c r="D12" s="23" t="inlineStr">
        <is>
          <t>Mineur</t>
        </is>
      </c>
      <c r="E12" s="26" t="inlineStr">
        <is>
          <t>Corrigé</t>
        </is>
      </c>
      <c r="F12" s="20" t="inlineStr">
        <is>
          <t>hangar.html (3 titres de filtre h3 → h2), details.html (3 h4 → h3), cgu.html (h3 d'intro → h2, 6 h4 → h3), politique-confidentialite.html (h3 d'intro → h2, 21 h4 → h3), 404.html (titre de section masqué en .sr-only). Contrôle automatisé : plus aucun saut de niveau sur les 18 pages.</t>
        </is>
      </c>
      <c r="G12" s="20" t="inlineStr">
        <is>
          <t>frontend/cgu.html</t>
        </is>
      </c>
      <c r="H12" s="19" t="inlineStr">
        <is>
          <t>97 → 119 (idem politique-confidentialite.html, hangar.html:115→145, details.html:204→205)</t>
        </is>
      </c>
      <c r="I12" s="20" t="inlineStr">
        <is>
          <t>La hiérarchie annoncée aux technologies d'assistance ne reflète pas l'imbrication réelle du contenu.</t>
        </is>
      </c>
      <c r="J12" s="20" t="inlineStr">
        <is>
          <t>Un utilisateur qui navigue de titre en titre ne peut pas déduire la structure. Échec WCAG 1.3.1.</t>
        </is>
      </c>
      <c r="K12" s="20" t="inlineStr">
        <is>
          <t>Reclasser les h3/h4 orphelins au niveau immédiatement inférieur au titre précédent.</t>
        </is>
      </c>
      <c r="L12" s="19" t="inlineStr">
        <is>
          <t>M</t>
        </is>
      </c>
      <c r="M12" s="19" t="n">
        <v>17</v>
      </c>
      <c r="N12" s="20" t="inlineStr">
        <is>
          <t>cgu.html : &lt;h1&gt; l.97, puis &lt;h3&gt; l.119, le premier &lt;h2&gt; n'arrivant qu'à la l.126. hangar.html : &lt;h1&gt; l.115 puis trois &lt;h3&gt; (l.145, 149, 153), premier &lt;h2&gt; à la l.202 (modale). details.html : &lt;h2&gt; « Dates Clés » l.204 suivi directement de &lt;h4&gt; l.205-207.</t>
        </is>
      </c>
    </row>
    <row r="13" ht="62" customHeight="1">
      <c r="A13" s="18" t="inlineStr">
        <is>
          <t>A11Y-08</t>
        </is>
      </c>
      <c r="B13" s="19" t="inlineStr">
        <is>
          <t>6. Accessibilité</t>
        </is>
      </c>
      <c r="C13" s="20" t="inlineStr">
        <is>
          <t>Un &lt;h2&gt; décoratif précède le &lt;h1&gt; sur la page de connexion</t>
        </is>
      </c>
      <c r="D13" s="23" t="inlineStr">
        <is>
          <t>Mineur</t>
        </is>
      </c>
      <c r="E13" s="26" t="inlineStr">
        <is>
          <t>Corrigé</t>
        </is>
      </c>
      <c r="F13" s="20" t="inlineStr">
        <is>
          <t>frontend/login.html:118 — le titre décoratif du panneau visuel passe de &lt;h2&gt; à &lt;p&gt;, la classe et donc le style restant identiques.</t>
        </is>
      </c>
      <c r="G13" s="20" t="inlineStr">
        <is>
          <t>frontend/login.html</t>
        </is>
      </c>
      <c r="H13" s="19" t="inlineStr">
        <is>
          <t>118</t>
        </is>
      </c>
      <c r="I13" s="20" t="inlineStr">
        <is>
          <t>Le premier titre rencontré par un lecteur d'écran est un h2 appartenant au panneau visuel décoratif.</t>
        </is>
      </c>
      <c r="J13" s="20" t="inlineStr">
        <is>
          <t>Hiérarchie sans racine cohérente en tête de page.</t>
        </is>
      </c>
      <c r="K13" s="20" t="inlineStr">
        <is>
          <t>Passer .visual-title en &lt;p&gt; ou &lt;span&gt; stylé : c'est un ornement, pas un titre de section.</t>
        </is>
      </c>
      <c r="L13" s="19" t="inlineStr">
        <is>
          <t>S</t>
        </is>
      </c>
      <c r="M13" s="19" t="n">
        <v>18</v>
      </c>
      <c r="N13" s="20" t="inlineStr">
        <is>
          <t>&lt;h2 class="visual-title"&gt;Vol d'Histoire&lt;/h2&gt; (l.118) apparaît avant &lt;h1 data-i18n="login.login_title"&gt;Identification&lt;/h1&gt; (l.177)</t>
        </is>
      </c>
    </row>
    <row r="14" ht="62" customHeight="1">
      <c r="A14" s="18" t="inlineStr">
        <is>
          <t>A11Y-09</t>
        </is>
      </c>
      <c r="B14" s="19" t="inlineStr">
        <is>
          <t>6. Accessibilité</t>
        </is>
      </c>
      <c r="C14" s="20" t="inlineStr">
        <is>
          <t>Landmark &lt;main&gt; absent sur les quatre pages d'authentification</t>
        </is>
      </c>
      <c r="D14" s="23" t="inlineStr">
        <is>
          <t>Mineur</t>
        </is>
      </c>
      <c r="E14" s="26" t="inlineStr">
        <is>
          <t>Corrigé</t>
        </is>
      </c>
      <c r="F14" s="20" t="inlineStr">
        <is>
          <t>check-email.html:162, forgot-password.html:152, reset-password.html:175, verify-email.html:124 — &lt;div id="main-content"&gt; devient &lt;main&gt;, fermetures ajustées.</t>
        </is>
      </c>
      <c r="G14" s="20" t="inlineStr">
        <is>
          <t>frontend/check-email.html</t>
        </is>
      </c>
      <c r="H14" s="19" t="inlineStr">
        <is>
          <t>162 (idem forgot-password:152, reset-password:175, verify-email:124)</t>
        </is>
      </c>
      <c r="I14" s="20" t="inlineStr">
        <is>
          <t>Le lien d'évitement fonctionne (la cible existe), mais la navigation par régions ne trouve pas de contenu principal.</t>
        </is>
      </c>
      <c r="J14" s="20" t="inlineStr">
        <is>
          <t>Gêne modérée pour les lecteurs d'écran, sur des pages de passage.</t>
        </is>
      </c>
      <c r="K14" s="20" t="inlineStr">
        <is>
          <t>Remplacer le &lt;div&gt; par &lt;main&gt;.</t>
        </is>
      </c>
      <c r="L14" s="19" t="inlineStr">
        <is>
          <t>S</t>
        </is>
      </c>
      <c r="M14" s="19" t="n">
        <v>21</v>
      </c>
      <c r="N14" s="20" t="inlineStr">
        <is>
          <t>Les quatre utilisent &lt;div id="main-content"&gt; ; grep « &lt;main » : 0 sur les quatre fichiers</t>
        </is>
      </c>
    </row>
    <row r="15" ht="62" customHeight="1">
      <c r="A15" s="18" t="inlineStr">
        <is>
          <t>A11Y-10</t>
        </is>
      </c>
      <c r="B15" s="19" t="inlineStr">
        <is>
          <t>6. Accessibilité</t>
        </is>
      </c>
      <c r="C15" s="20" t="inlineStr">
        <is>
          <t>role="alert" doublé d'un aria-live="polite" contradictoire</t>
        </is>
      </c>
      <c r="D15" s="23" t="inlineStr">
        <is>
          <t>Mineur</t>
        </is>
      </c>
      <c r="E15" s="26" t="inlineStr">
        <is>
          <t>Corrigé</t>
        </is>
      </c>
      <c r="F15" s="20" t="inlineStr">
        <is>
          <t>contact.html:175 et 190, forgot-password.html:160, reset-password.html:194 — aria-live="polite" retiré ; role="alert" porte déjà la sémantique assertive.</t>
        </is>
      </c>
      <c r="G15" s="20" t="inlineStr">
        <is>
          <t>frontend/contact.html</t>
        </is>
      </c>
      <c r="H15" s="19" t="inlineStr">
        <is>
          <t>175 et 190 (+ forgot-password.html:160, reset-password.html:194)</t>
        </is>
      </c>
      <c r="I15" s="20" t="inlineStr">
        <is>
          <t>role="alert" implique aria-live="assertive" ; y adjoindre « polite » est contradictoire et le comportement retenu varie selon la technologie d'assistance.</t>
        </is>
      </c>
      <c r="J15" s="20" t="inlineStr">
        <is>
          <t>Urgence d'annonce des erreurs de formulaire imprévisible.</t>
        </is>
      </c>
      <c r="K15" s="20" t="inlineStr">
        <is>
          <t>Retirer aria-live="polite" : le rôle suffit.</t>
        </is>
      </c>
      <c r="L15" s="19" t="inlineStr">
        <is>
          <t>S</t>
        </is>
      </c>
      <c r="M15" s="19" t="n">
        <v>23</v>
      </c>
      <c r="N15" s="20" t="inlineStr">
        <is>
          <t>&lt;span id="contact-email-error" class="form-error" role="alert" aria-live="polite"&gt;&lt;/span&gt; — 4 occurrences</t>
        </is>
      </c>
    </row>
    <row r="16" ht="62" customHeight="1">
      <c r="A16" s="18" t="inlineStr">
        <is>
          <t>A11Y-11</t>
        </is>
      </c>
      <c r="B16" s="19" t="inlineStr">
        <is>
          <t>6. Accessibilité</t>
        </is>
      </c>
      <c r="C16" s="20" t="inlineStr">
        <is>
          <t>Le graphique radar SVG n'est ni masqué ni décrit</t>
        </is>
      </c>
      <c r="D16" s="23" t="inlineStr">
        <is>
          <t>Mineur</t>
        </is>
      </c>
      <c r="E16" s="26" t="inlineStr">
        <is>
          <t>Corrigé</t>
        </is>
      </c>
      <c r="F16" s="20" t="inlineStr">
        <is>
          <t>frontend/js/details/radar.js:74 — le &lt;svg&gt; reçoit aria-hidden="true" et focusable="false" ; la légende adjacente porte déjà les valeurs en texte.</t>
        </is>
      </c>
      <c r="G16" s="20" t="inlineStr">
        <is>
          <t>frontend/js/details/radar.js</t>
        </is>
      </c>
      <c r="H16" s="19" t="inlineStr">
        <is>
          <t>74</t>
        </is>
      </c>
      <c r="I16" s="20" t="inlineStr">
        <is>
          <t>Le SVG expose les libellés d'axes sans les valeurs ; l'équivalent textuel complet existe juste à côté dans #radar-legend.</t>
        </is>
      </c>
      <c r="J16" s="20" t="inlineStr">
        <is>
          <t>Annonce partielle et redondante pour les lecteurs d'écran qui explorent le SVG.</t>
        </is>
      </c>
      <c r="K16" s="20" t="inlineStr">
        <is>
          <t>Ajouter aria-hidden="true" sur le &lt;svg&gt;, la légende portant déjà l'information.</t>
        </is>
      </c>
      <c r="L16" s="19" t="inlineStr">
        <is>
          <t>S</t>
        </is>
      </c>
      <c r="M16" s="19" t="n">
        <v>24</v>
      </c>
      <c r="N16" s="20" t="inlineStr">
        <is>
          <t>&lt;svg viewBox="0 0 300 300" … class="radar-svg"&gt; — sans aria-hidden ni role/aria-label ; la légende équivalente est bien construite lignes 96-104</t>
        </is>
      </c>
    </row>
    <row r="17" ht="62" customHeight="1">
      <c r="A17" s="18" t="inlineStr">
        <is>
          <t>A11Y-12</t>
        </is>
      </c>
      <c r="B17" s="19" t="inlineStr">
        <is>
          <t>6. Accessibilité</t>
        </is>
      </c>
      <c r="C17" s="20" t="inlineStr">
        <is>
          <t>Liens d'action sous la hauteur de cible de 24 px</t>
        </is>
      </c>
      <c r="D17" s="23" t="inlineStr">
        <is>
          <t>Mineur</t>
        </is>
      </c>
      <c r="E17" s="26" t="inlineStr">
        <is>
          <t>Corrigé</t>
        </is>
      </c>
      <c r="F17" s="20" t="inlineStr">
        <is>
          <t>frontend/css/shared-base.css — min-height: 24px et inline-flex sur .feature-link, .aircraft-btn, .hero-aside-link, .forgot-password et les liens du fil d'Ariane.</t>
        </is>
      </c>
      <c r="G17" s="20" t="inlineStr">
        <is>
          <t>frontend/css/style-sections.css</t>
        </is>
      </c>
      <c r="H17" s="19" t="inlineStr">
        <is>
          <t>— (.feature-link, .aircraft-btn, .forgot-password, fil d'Ariane)</t>
        </is>
      </c>
      <c r="I17" s="20" t="inlineStr">
        <is>
          <t>Largeur confortable, hauteur de 20 à 23 px, sous le seuil de 24 px du critère 2.5.8.</t>
        </is>
      </c>
      <c r="J17" s="20" t="inlineStr">
        <is>
          <t>Plusieurs bénéficient probablement de l'exception d'espacement (pas de cible voisine dans un rayon de 24 px) : la conformité formelle dépend de cet espacement, non mesuré ici.</t>
        </is>
      </c>
      <c r="K17" s="20" t="inlineStr">
        <is>
          <t>min-height: 24px et un padding vertical sur ces classes — plus simple que de démontrer l'exception.</t>
        </is>
      </c>
      <c r="L17" s="19" t="inlineStr">
        <is>
          <t>S</t>
        </is>
      </c>
      <c r="M17" s="19" t="n">
        <v>25</v>
      </c>
      <c r="N17" s="20" t="inlineStr">
        <is>
          <t>Mesure Playwright (getBoundingClientRect) à 1440 px et 390 px : .feature-link 206×23, .aircraft-btn 133×21, #hero-fact-link 98×21, .forgot-password 130×20, lien « Accueil » du fil d'Ariane 83×20</t>
        </is>
      </c>
    </row>
    <row r="18" ht="62" customHeight="1">
      <c r="A18" s="18" t="inlineStr">
        <is>
          <t>A11Y-13</t>
        </is>
      </c>
      <c r="B18" s="19" t="inlineStr">
        <is>
          <t>6. Accessibilité</t>
        </is>
      </c>
      <c r="C18" s="20" t="inlineStr">
        <is>
          <t>Lien externe en nouvel onglet sans avertissement ni rel="noopener"</t>
        </is>
      </c>
      <c r="D18" s="23" t="inlineStr">
        <is>
          <t>Mineur</t>
        </is>
      </c>
      <c r="E18" s="26" t="inlineStr">
        <is>
          <t>Corrigé</t>
        </is>
      </c>
      <c r="F18" s="20" t="inlineStr">
        <is>
          <t>frontend/politique-confidentialite.html:563 — rel="noopener noreferrer" ajouté et mention « (nouvel onglet) » en .sr-only, avec la clé i18n legal.new_tab dans les deux langues.</t>
        </is>
      </c>
      <c r="G18" s="20" t="inlineStr">
        <is>
          <t>frontend/politique-confidentialite.html</t>
        </is>
      </c>
      <c r="H18" s="19" t="inlineStr">
        <is>
          <t>563</t>
        </is>
      </c>
      <c r="I18" s="20" t="inlineStr">
        <is>
          <t>Ni indication textuelle, ni aria-label, ni rel="noopener".</t>
        </is>
      </c>
      <c r="J18" s="20" t="inlineStr">
        <is>
          <t>Changement de contexte inattendu, non annoncé aux lecteurs d'écran.</t>
        </is>
      </c>
      <c r="K18" s="20" t="inlineStr">
        <is>
          <t>Ajouter rel="noopener" et une mention « (nouvel onglet) » visuellement masquée.</t>
        </is>
      </c>
      <c r="L18" s="19" t="inlineStr">
        <is>
          <t>S</t>
        </is>
      </c>
      <c r="M18" s="19" t="n">
        <v>26</v>
      </c>
      <c r="N18" s="20" t="inlineStr">
        <is>
          <t>&lt;a href="https://www.cnil.fr" target="_blank"&gt;www.cnil.fr&lt;/a&gt; — seule occurrence de target="_blank" des 18 pages</t>
        </is>
      </c>
    </row>
  </sheetData>
  <autoFilter ref="A4:N18"/>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0"/>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7. Sécurité</t>
        </is>
      </c>
    </row>
    <row r="2">
      <c r="A2" s="2" t="inlineStr">
        <is>
          <t>6 constat(s) · score 82 → 98/100 · 4 corrigé(s), 2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SEC-04</t>
        </is>
      </c>
      <c r="B5" s="19" t="inlineStr">
        <is>
          <t>7. Sécurité</t>
        </is>
      </c>
      <c r="C5" s="20" t="inlineStr">
        <is>
          <t>jwt.verify sans restriction explicite d'algorithme</t>
        </is>
      </c>
      <c r="D5" s="23" t="inlineStr">
        <is>
          <t>Mineur</t>
        </is>
      </c>
      <c r="E5" s="22" t="inlineStr">
        <is>
          <t>Ouvert</t>
        </is>
      </c>
      <c r="F5" s="20" t="inlineStr">
        <is>
          <t>—</t>
        </is>
      </c>
      <c r="G5" s="20" t="inlineStr">
        <is>
          <t>backend/middleware/auth.js</t>
        </is>
      </c>
      <c r="H5" s="19" t="inlineStr">
        <is>
          <t>170 (+ routes/auth.js:192 et 249)</t>
        </is>
      </c>
      <c r="I5" s="20" t="inlineStr">
        <is>
          <t>Trois appels ne fixent pas algorithms. jsonwebtoken@9.0.3 avec un secret HMAC n'est pas vulnérable à la confusion d'algorithme : aucune exploitation actuelle.</t>
        </is>
      </c>
      <c r="J5" s="20" t="inlineStr">
        <is>
          <t>Nul aujourd'hui. Risque latent en cas de migration vers des clés asymétriques.</t>
        </is>
      </c>
      <c r="K5" s="20" t="inlineStr">
        <is>
          <t>Ajouter { algorithms: ['HS256'] } aux trois appels.</t>
        </is>
      </c>
      <c r="L5" s="19" t="inlineStr">
        <is>
          <t>S</t>
        </is>
      </c>
      <c r="M5" s="19" t="n">
        <v>16</v>
      </c>
      <c r="N5" s="20" t="inlineStr">
        <is>
          <t>const decoded = jwt.verify(token, process.env.JWT_SECRET);</t>
        </is>
      </c>
    </row>
    <row r="6" ht="62" customHeight="1">
      <c r="A6" s="18" t="inlineStr">
        <is>
          <t>SEC-06</t>
        </is>
      </c>
      <c r="B6" s="19" t="inlineStr">
        <is>
          <t>7. Sécurité</t>
        </is>
      </c>
      <c r="C6" s="20" t="inlineStr">
        <is>
          <t>firstname/lastname du formulaire de contact non validés</t>
        </is>
      </c>
      <c r="D6" s="24" t="inlineStr">
        <is>
          <t>Info</t>
        </is>
      </c>
      <c r="E6" s="22" t="inlineStr">
        <is>
          <t>Ouvert</t>
        </is>
      </c>
      <c r="F6" s="20" t="inlineStr">
        <is>
          <t>—</t>
        </is>
      </c>
      <c r="G6" s="20" t="inlineStr">
        <is>
          <t>backend/routes/contact.js</t>
        </is>
      </c>
      <c r="H6" s="19" t="inlineStr">
        <is>
          <t>14 et 27</t>
        </is>
      </c>
      <c r="I6" s="20" t="inlineStr">
        <is>
          <t>email et message sont validés (isValidEmail, isValidString(5000)), pas ces deux champs. Aucun risque XSS : mailer.js:225 échappe via escapeHtmlEmail, et le corps est borné à 100 Ko.</t>
        </is>
      </c>
      <c r="J6" s="20" t="inlineStr">
        <is>
          <t>Incohérence de validation aux frontières, aucune vulnérabilité constatée.</t>
        </is>
      </c>
      <c r="K6" s="20" t="inlineStr">
        <is>
          <t>Ajouter une validation de longueur (100 caractères).</t>
        </is>
      </c>
      <c r="L6" s="19" t="inlineStr">
        <is>
          <t>S</t>
        </is>
      </c>
      <c r="M6" s="19" t="n">
        <v>22</v>
      </c>
      <c r="N6" s="20" t="inlineStr">
        <is>
          <t>const safeName = [(firstname || '').trim(), (lastname || '').trim()].filter(Boolean).join(' ') || 'Anonyme';</t>
        </is>
      </c>
    </row>
    <row r="7" ht="62" customHeight="1">
      <c r="A7" s="18" t="inlineStr">
        <is>
          <t>SEC-01</t>
        </is>
      </c>
      <c r="B7" s="19" t="inlineStr">
        <is>
          <t>7. Sécurité</t>
        </is>
      </c>
      <c r="C7" s="20" t="inlineStr">
        <is>
          <t>Le scrubbing des logs est contourné sur le chemin Sentry</t>
        </is>
      </c>
      <c r="D7" s="21" t="inlineStr">
        <is>
          <t>Majeur</t>
        </is>
      </c>
      <c r="E7" s="26" t="inlineStr">
        <is>
          <t>Corrigé</t>
        </is>
      </c>
      <c r="F7" s="20" t="inlineStr">
        <is>
          <t>backend/logger.js:80-86 — le transfert vers Sentry lit safeMeta (valeur épurée) au lieu de meta. Vérifié : 7 occurrences de safeMeta dans le fichier.</t>
        </is>
      </c>
      <c r="G7" s="20" t="inlineStr">
        <is>
          <t>backend/logger.js</t>
        </is>
      </c>
      <c r="H7" s="19" t="inlineStr">
        <is>
          <t>80-84</t>
        </is>
      </c>
      <c r="I7" s="20" t="inlineStr">
        <is>
          <t>log() calcule safeMeta et l'utilise pour la sortie console/JSON, correctement épurée des mots de passe, jetons et cookies. Le transfert vers Sentry, lui, réutilise la variable meta BRUTE. Tout appel logger.error('…', { password, token, … }) enverrait ces valeurs en clair dans les extras Sentry.</t>
        </is>
      </c>
      <c r="J7" s="20" t="inlineStr">
        <is>
          <t>Des secrets ou données personnelles peuvent quitter le serveur vers un tiers alors que sanitize-logs.js affirme explicitement les protéger. Un jeton de session exposé dans Sentry reste réutilisable.</t>
        </is>
      </c>
      <c r="K7" s="20" t="inlineStr">
        <is>
          <t>Remplacer meta par safeMeta lignes 80-84 (scrub() préserve les objets Error, donc safeMeta.error reste exploitable ligne 85).</t>
        </is>
      </c>
      <c r="L7" s="19" t="inlineStr">
        <is>
          <t>S</t>
        </is>
      </c>
      <c r="M7" s="19" t="n">
        <v>2</v>
      </c>
      <c r="N7" s="20" t="inlineStr">
        <is>
          <t>l.66 : const safeMeta = (meta &amp;&amp; scrub) ? scrub(meta) : meta; — l.80-84 : Object.entries(meta).forEach(([k, v]) =&gt; { if (k !== 'error') scope.setExtra(k, v); })</t>
        </is>
      </c>
    </row>
    <row r="8" ht="62" customHeight="1">
      <c r="A8" s="18" t="inlineStr">
        <is>
          <t>SEC-02</t>
        </is>
      </c>
      <c r="B8" s="19" t="inlineStr">
        <is>
          <t>7. Sécurité</t>
        </is>
      </c>
      <c r="C8" s="20" t="inlineStr">
        <is>
          <t>escapeJson n'échappe pas « &lt; » avant injection dans un &lt;script&gt; JSON-LD</t>
        </is>
      </c>
      <c r="D8" s="21" t="inlineStr">
        <is>
          <t>Majeur</t>
        </is>
      </c>
      <c r="E8" s="26" t="inlineStr">
        <is>
          <t>Corrigé</t>
        </is>
      </c>
      <c r="F8" s="20" t="inlineStr">
        <is>
          <t>backend/routes/details-ssr.js:29-31 — escapeJson ajoute .replace(/&lt;/g, '\u003c'). Test de non-régression ajouté : un nom contenant &lt;/script&gt; ne referme plus le bloc JSON-LD.</t>
        </is>
      </c>
      <c r="G8" s="20" t="inlineStr">
        <is>
          <t>backend/routes/details-ssr.js</t>
        </is>
      </c>
      <c r="H8" s="19" t="inlineStr">
        <is>
          <t>25-26</t>
        </is>
      </c>
      <c r="I8" s="20" t="inlineStr">
        <is>
          <t>Le JSON-LD rendu côté serveur interpole aircraft.name — modifiable par un rôle éditeur ou admin, sans filtrage de caractères dans validators.js — dans un &lt;script type="application/ld+json"&gt;. Une valeur contenant &lt;/script&gt;&lt;script&gt;… romprait le bloc.</t>
        </is>
      </c>
      <c r="J8" s="20" t="inlineStr">
        <is>
          <t>XSS stocké déclenchable sans interaction sur /details/:slug. Atténué par la CSP (script-src sans 'unsafe-inline' ni nonce : un script inline injecté est bloqué), mais la défense repose alors entièrement sur elle. Exploitation nécessite un compte éditeur/admin compromis.</t>
        </is>
      </c>
      <c r="K8" s="20" t="inlineStr">
        <is>
          <t>Ajouter .replace(/&lt;/g, '\u003c') dans escapeJson — pratique standard pour du JSON injecté dans du HTML.</t>
        </is>
      </c>
      <c r="L8" s="19" t="inlineStr">
        <is>
          <t>S</t>
        </is>
      </c>
      <c r="M8" s="19" t="n">
        <v>3</v>
      </c>
      <c r="N8" s="20" t="inlineStr">
        <is>
          <t>return String(str || '').replace(/[\u0000-\u001f\u2028\u2029]/g, …) — n'échappe ni &lt; ni /</t>
        </is>
      </c>
    </row>
    <row r="9" ht="62" customHeight="1">
      <c r="A9" s="18" t="inlineStr">
        <is>
          <t>SEC-03</t>
        </is>
      </c>
      <c r="B9" s="19" t="inlineStr">
        <is>
          <t>7. Sécurité</t>
        </is>
      </c>
      <c r="C9" s="20" t="inlineStr">
        <is>
          <t>Comparaison non constante du jeton de supervision</t>
        </is>
      </c>
      <c r="D9" s="23" t="inlineStr">
        <is>
          <t>Mineur</t>
        </is>
      </c>
      <c r="E9" s="26" t="inlineStr">
        <is>
          <t>Corrigé</t>
        </is>
      </c>
      <c r="F9" s="20" t="inlineStr">
        <is>
          <t>backend/routes/monitoring.js — helper tokenEgal() : hachage SHA-256 des deux jetons puis crypto.timingSafeEqual. Appliqué aux deux routes (/api/metrics et /api/status).</t>
        </is>
      </c>
      <c r="G9" s="20" t="inlineStr">
        <is>
          <t>backend/routes/monitoring.js</t>
        </is>
      </c>
      <c r="H9" s="19" t="inlineStr">
        <is>
          <t>65 et 83</t>
        </is>
      </c>
      <c r="I9" s="20" t="inlineStr">
        <is>
          <t>GET /api/metrics et GET /api/status comparent METRICS_TOKEN avec !==, sensible aux attaques temporelles.</t>
        </is>
      </c>
      <c r="J9" s="20" t="inlineStr">
        <is>
          <t>Surface faible (endpoints de supervision), jeton théoriquement devinable octet par octet.</t>
        </is>
      </c>
      <c r="K9" s="20" t="inlineStr">
        <is>
          <t>crypto.timingSafeEqual, avec égalisation préalable des longueurs.</t>
        </is>
      </c>
      <c r="L9" s="19" t="inlineStr">
        <is>
          <t>S</t>
        </is>
      </c>
      <c r="M9" s="19" t="n">
        <v>12</v>
      </c>
      <c r="N9" s="20" t="inlineStr">
        <is>
          <t>if (provided !== token) {</t>
        </is>
      </c>
    </row>
    <row r="10" ht="62" customHeight="1">
      <c r="A10" s="18" t="inlineStr">
        <is>
          <t>SEC-05</t>
        </is>
      </c>
      <c r="B10" s="19" t="inlineStr">
        <is>
          <t>7. Sécurité</t>
        </is>
      </c>
      <c r="C10" s="20" t="inlineStr">
        <is>
          <t>La CSP autorise picsum.photos, qui n'est plus utilisé nulle part</t>
        </is>
      </c>
      <c r="D10" s="23" t="inlineStr">
        <is>
          <t>Mineur</t>
        </is>
      </c>
      <c r="E10" s="26" t="inlineStr">
        <is>
          <t>Corrigé</t>
        </is>
      </c>
      <c r="F10" s="20" t="inlineStr">
        <is>
          <t>backend/app.js:80 — picsum.photos et fastly.picsum.photos retirés de la directive img-src.</t>
        </is>
      </c>
      <c r="G10" s="20" t="inlineStr">
        <is>
          <t>backend/app.js</t>
        </is>
      </c>
      <c r="H10" s="19" t="inlineStr">
        <is>
          <t>80</t>
        </is>
      </c>
      <c r="I10" s="20" t="inlineStr">
        <is>
          <t>Reliquat de développement dans la politique de sécurité du contenu.</t>
        </is>
      </c>
      <c r="J10" s="20" t="inlineStr">
        <is>
          <t>Élargit inutilement la surface autorisée : une injection d'URL d'image pourrait exfiltrer vers un domaine tiers déjà autorisé.</t>
        </is>
      </c>
      <c r="K10" s="20" t="inlineStr">
        <is>
          <t>Retirer les deux domaines picsum de img-src.</t>
        </is>
      </c>
      <c r="L10" s="19" t="inlineStr">
        <is>
          <t>S</t>
        </is>
      </c>
      <c r="M10" s="19" t="n">
        <v>15</v>
      </c>
      <c r="N10" s="20" t="inlineStr">
        <is>
          <t>"img-src 'self' https://flagcdn.com … https://picsum.photos https://fastly.picsum.photos data:" — grep « picsum » sur frontend/, backend/routes/, backend/db_backup/ : 0 occurrence</t>
        </is>
      </c>
    </row>
  </sheetData>
  <autoFilter ref="A4:N1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7"/>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8. SEO technique</t>
        </is>
      </c>
    </row>
    <row r="2">
      <c r="A2" s="2" t="inlineStr">
        <is>
          <t>3 constat(s) · score 96 → 100/100 · 2 corrigé(s), 1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SEO-03</t>
        </is>
      </c>
      <c r="B5" s="19" t="inlineStr">
        <is>
          <t>8. SEO technique</t>
        </is>
      </c>
      <c r="C5" s="20" t="inlineStr">
        <is>
          <t>Meta description de la chronologie au-dessus de la limite d'affichage</t>
        </is>
      </c>
      <c r="D5" s="24" t="inlineStr">
        <is>
          <t>Info</t>
        </is>
      </c>
      <c r="E5" s="22" t="inlineStr">
        <is>
          <t>Ouvert</t>
        </is>
      </c>
      <c r="F5" s="20" t="inlineStr">
        <is>
          <t>—</t>
        </is>
      </c>
      <c r="G5" s="20" t="inlineStr">
        <is>
          <t>frontend/timeline.html</t>
        </is>
      </c>
      <c r="H5" s="19" t="inlineStr">
        <is>
          <t>—</t>
        </is>
      </c>
      <c r="I5" s="20" t="inlineStr">
        <is>
          <t>La limite pratique avant troncature dans les résultats de recherche est de 155 à 160 caractères.</t>
        </is>
      </c>
      <c r="J5" s="20" t="inlineStr">
        <is>
          <t>Risque de troncature de la fin de la description.</t>
        </is>
      </c>
      <c r="K5" s="20" t="inlineStr">
        <is>
          <t>Raccourcir de quelques mots.</t>
        </is>
      </c>
      <c r="L5" s="19" t="inlineStr">
        <is>
          <t>S</t>
        </is>
      </c>
      <c r="M5" s="19" t="n">
        <v>29</v>
      </c>
      <c r="N5" s="20" t="inlineStr">
        <is>
          <t>Mesure programmatique sur les 18 pages : timeline.html = 164 caractères ; toutes les autres sont entre 57 et 124.</t>
        </is>
      </c>
    </row>
    <row r="6" ht="62" customHeight="1">
      <c r="A6" s="18" t="inlineStr">
        <is>
          <t>SEO-01</t>
        </is>
      </c>
      <c r="B6" s="19" t="inlineStr">
        <is>
          <t>8. SEO technique</t>
        </is>
      </c>
      <c r="C6" s="20" t="inlineStr">
        <is>
          <t>Les trois hreflang des fiches pointent vers une URL identique</t>
        </is>
      </c>
      <c r="D6" s="23" t="inlineStr">
        <is>
          <t>Mineur</t>
        </is>
      </c>
      <c r="E6" s="26" t="inlineStr">
        <is>
          <t>Corrigé</t>
        </is>
      </c>
      <c r="F6" s="20" t="inlineStr">
        <is>
          <t>backend/routes/details-ssr.js:221-233 — les hreflang fr et en reçoivent ?lang=fr et ?lang=en, x-default gardant l'URL nue. Test de non-régression ajouté.</t>
        </is>
      </c>
      <c r="G6" s="20" t="inlineStr">
        <is>
          <t>backend/routes/details-ssr.js</t>
        </is>
      </c>
      <c r="H6" s="19" t="inlineStr">
        <is>
          <t>221-233</t>
        </is>
      </c>
      <c r="I6" s="20" t="inlineStr">
        <is>
          <t>Sur le type de page le plus nombreux du site (383 fiches), le balisage multilingue n'apporte aucune information exploitable.</t>
        </is>
      </c>
      <c r="J6" s="20" t="inlineStr">
        <is>
          <t>Balisage inerte : le moteur ne peut pas distinguer une version FR d'une version EN puisque l'URL est la même.</t>
        </is>
      </c>
      <c r="K6" s="20" t="inlineStr">
        <is>
          <t>Injecter ?lang=fr et ?lang=en dans les hreflang de /details, comme sur les pages statiques.</t>
        </is>
      </c>
      <c r="L6" s="19" t="inlineStr">
        <is>
          <t>S</t>
        </is>
      </c>
      <c r="M6" s="19" t="n">
        <v>13</v>
      </c>
      <c r="N6" s="20" t="inlineStr">
        <is>
          <t>Les trois remplacements (hreflang fr, en, x-default) reçoivent la même variable url, sans ?lang= — le commentaire du code l'assume explicitement. Les pages statiques, elles, distinguent bien ?lang=fr / ?lang=en (index.html:36-38).</t>
        </is>
      </c>
    </row>
    <row r="7" ht="62" customHeight="1">
      <c r="A7" s="18" t="inlineStr">
        <is>
          <t>SEO-02</t>
        </is>
      </c>
      <c r="B7" s="19" t="inlineStr">
        <is>
          <t>8. SEO technique</t>
        </is>
      </c>
      <c r="C7" s="20" t="inlineStr">
        <is>
          <t>datePublished du JSON-LD contient l'année de mise en service de l'avion</t>
        </is>
      </c>
      <c r="D7" s="23" t="inlineStr">
        <is>
          <t>Mineur</t>
        </is>
      </c>
      <c r="E7" s="26" t="inlineStr">
        <is>
          <t>Corrigé</t>
        </is>
      </c>
      <c r="F7" s="20" t="inlineStr">
        <is>
          <t>backend/routes/details-ssr.js — datePublished vient de airplanes.created_at et dateModified de updated_at (colonnes ajoutées à la requête SSR) au lieu de l'année de mise en service de l'appareil. Deux tests ajoutés, dont le cas sans created_at.</t>
        </is>
      </c>
      <c r="G7" s="20" t="inlineStr">
        <is>
          <t>backend/routes/details-ssr.js</t>
        </is>
      </c>
      <c r="H7" s="19" t="inlineStr">
        <is>
          <t>170</t>
        </is>
      </c>
      <c r="I7" s="20" t="inlineStr">
        <is>
          <t>Le champ « date de publication » de l'Article est rempli avec une donnée métier de l'appareil, pas avec la date de rédaction de la fiche.</t>
        </is>
      </c>
      <c r="J7" s="20" t="inlineStr">
        <is>
          <t>Un moteur peut afficher « 1955 » comme date de publication d'une fiche écrite en 2026 : signal de fraîcheur dégradé et information trompeuse.</t>
        </is>
      </c>
      <c r="K7" s="20" t="inlineStr">
        <is>
          <t>Omettre datePublished (facultatif pour Article) ou le remplir avec airplanes.created_at / updated_at, qui existent en base.</t>
        </is>
      </c>
      <c r="L7" s="19" t="inlineStr">
        <is>
          <t>S</t>
        </is>
      </c>
      <c r="M7" s="19" t="n">
        <v>18</v>
      </c>
      <c r="N7" s="20" t="inlineStr">
        <is>
          <t>if (year) articleLd.datePublished = `${year}-01-01`; où year = new Date(aircraft.date_operationel).getFullYear() (l.68-70)</t>
        </is>
      </c>
    </row>
  </sheetData>
  <autoFilter ref="A4:N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9. Conformité RGPD</t>
        </is>
      </c>
    </row>
    <row r="2">
      <c r="A2" s="2" t="inlineStr">
        <is>
          <t>5 constat(s) · score 69 → 100/100 · 5 corrigé(s), 0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RGPD-01</t>
        </is>
      </c>
      <c r="B5" s="19" t="inlineStr">
        <is>
          <t>9. Conformité RGPD</t>
        </is>
      </c>
      <c r="C5" s="20" t="inlineStr">
        <is>
          <t>La garde de consentement de Sentry lit une clé qui n'existe pas</t>
        </is>
      </c>
      <c r="D5" s="25" t="inlineStr">
        <is>
          <t>Critique</t>
        </is>
      </c>
      <c r="E5" s="26" t="inlineStr">
        <is>
          <t>Corrigé</t>
        </is>
      </c>
      <c r="F5" s="20" t="inlineStr">
        <is>
          <t>frontend/js/cookies.js — accesseur unique window.VH.consent (get / allows / denies) ajouté en fin de fichier ; frontend/js/sentry-init.js:20 le consomme. Un seul fichier connaît désormais le nom de la clé et la forme stockée.</t>
        </is>
      </c>
      <c r="G5" s="20" t="inlineStr">
        <is>
          <t>frontend/js/sentry-init.js</t>
        </is>
      </c>
      <c r="H5" s="19" t="inlineStr">
        <is>
          <t>20-21</t>
        </is>
      </c>
      <c r="I5" s="20" t="inlineStr">
        <is>
          <t>Double décalage vérifié : mauvaise clé ET mauvaise forme. consent vaut donc toujours null, et la garde ne se déclenche jamais.</t>
        </is>
      </c>
      <c r="J5" s="20" t="inlineStr">
        <is>
          <t>Sentry se charge et transmet à un sous-traitant américain (IP, URL, contexte navigateur) même quand le visiteur a explicitement refusé les cookies analytiques. Le commentaire du fichier et la politique de confidentialité décrivent un comportement que le code ne produit pas. Effet réel conditionné à la présence d'un DSN en production — non vérifiable depuis ce poste, aucun DSN n'étant injecté en local.</t>
        </is>
      </c>
      <c r="K5" s="20" t="inlineStr">
        <is>
          <t>Lire la même clé et la même forme que cookies.js. Mieux : exposer un helper unique VH.consent.get() consommé par les deux fichiers, pour que la forme ne puisse plus diverger.</t>
        </is>
      </c>
      <c r="L5" s="19" t="inlineStr">
        <is>
          <t>S</t>
        </is>
      </c>
      <c r="M5" s="19" t="n">
        <v>1</v>
      </c>
      <c r="N5" s="20" t="inlineStr">
        <is>
          <t>var consent = JSON.parse(localStorage.getItem('cookie-consent') || 'null'); if (consent &amp;&amp; consent.analytics === false) return; — or cookies.js:7 : this.cookieName = 'voldhistoire_cookie_consent' ; cookies.js:296 et 316 : la forme stockée est { preferences: { analytics } }</t>
        </is>
      </c>
    </row>
    <row r="6" ht="62" customHeight="1">
      <c r="A6" s="18" t="inlineStr">
        <is>
          <t>RGPD-02</t>
        </is>
      </c>
      <c r="B6" s="19" t="inlineStr">
        <is>
          <t>9. Conformité RGPD</t>
        </is>
      </c>
      <c r="C6" s="20" t="inlineStr">
        <is>
          <t>Le contenu légal de secours affiche des durées de conservation fausses</t>
        </is>
      </c>
      <c r="D6" s="21" t="inlineStr">
        <is>
          <t>Majeur</t>
        </is>
      </c>
      <c r="E6" s="26" t="inlineStr">
        <is>
          <t>Corrigé</t>
        </is>
      </c>
      <c r="F6" s="20" t="inlineStr">
        <is>
          <t>frontend/politique-confidentialite.html — jetons 2 h → 15 min, ligne « jeton de rafraîchissement : 7 jours » ajoutée, analytics 26 → 14 mois, ligne Sentry 30 jours ajoutée, base légale des analytics corrigée en « consentement ». frontend/mentions-legales.html — Google, Sentry et hCaptcha nommés avec leur pays et les Clauses Contractuelles Types.</t>
        </is>
      </c>
      <c r="G6" s="20" t="inlineStr">
        <is>
          <t>frontend/politique-confidentialite.html</t>
        </is>
      </c>
      <c r="H6" s="19" t="inlineStr">
        <is>
          <t>242 et 252</t>
        </is>
      </c>
      <c r="I6" s="20" t="inlineStr">
        <is>
          <t>Ce HTML statique n'est pas un brouillon : il est affiché tant que i18n.js n'a pas fini son fetch, et définitivement si ce fetch échoue (JS désactivé, réseau, extension bloquante). Les mentions légales ont le même défaut : le fallback ne nomme aucun sous-traitant, là où la version i18n cite Google, Sentry et hCaptcha.</t>
        </is>
      </c>
      <c r="J6" s="20" t="inlineStr">
        <is>
          <t>Un visiteur sans JavaScript, et tout robot n'exécutant pas JS, lit des durées de conservation fausses et aucune mention des sous-traitants américains. Manquement à l'obligation d'information de l'article 13 du RGPD.</t>
        </is>
      </c>
      <c r="K6" s="20" t="inlineStr">
        <is>
          <t>Générer le fallback depuis la même source que fr.json au build, ou rendre ces pages côté serveur comme /details l'est déjà.</t>
        </is>
      </c>
      <c r="L6" s="19" t="inlineStr">
        <is>
          <t>M</t>
        </is>
      </c>
      <c r="M6" s="19" t="n">
        <v>5</v>
      </c>
      <c r="N6" s="20" t="inlineStr">
        <is>
          <t>l.242 : « 2 heures (expiration automatique à chaque connexion) » ; l.252 : « 26 mois maximum » — or fr.json (legal.pc_sec4_body) annonce « Token d'accès JWT : 15 minutes », « Refresh token : 7 jours », « Données analytiques : 14 mois », et backend/middleware/auth.js:14-15 confirme ACCESS_TOKEN_EXPIRY = '15m' / REFRESH_TOKEN_EXPIRY = '7d'</t>
        </is>
      </c>
    </row>
    <row r="7" ht="62" customHeight="1">
      <c r="A7" s="18" t="inlineStr">
        <is>
          <t>RGPD-03</t>
        </is>
      </c>
      <c r="B7" s="19" t="inlineStr">
        <is>
          <t>9. Conformité RGPD</t>
        </is>
      </c>
      <c r="C7" s="20" t="inlineStr">
        <is>
          <t>Les drapeaux flagcdn.com sont appelés avant toute décision de consentement</t>
        </is>
      </c>
      <c r="D7" s="21" t="inlineStr">
        <is>
          <t>Majeur</t>
        </is>
      </c>
      <c r="E7" s="26" t="inlineStr">
        <is>
          <t>Corrigé</t>
        </is>
      </c>
      <c r="F7" s="20" t="inlineStr">
        <is>
          <t>41 drapeaux auto-hébergés dans frontend/assets/flags/ (PNG 80 px, 15 Ko au total) ; card.js et index.html pointent en local ; preconnect retiré des 5 pages ; flagcdn.com sorti de la CSP (app.js:80). Plus aucune référence au domaine dans le code.</t>
        </is>
      </c>
      <c r="G7" s="20" t="inlineStr">
        <is>
          <t>frontend/index.html</t>
        </is>
      </c>
      <c r="H7" s="19" t="inlineStr">
        <is>
          <t>15 (repris dans details, favorites, hangar, timeline)</t>
        </is>
      </c>
      <c r="I7" s="20" t="inlineStr">
        <is>
          <t>Contrairement à GTM (defaults « denied » puis chargement conditionnel), rien ne conditionne cet appel tiers. La connexion est même ouverte en preconnect avant l'affichage du bandeau (temporisé à 200 ms).</t>
        </is>
      </c>
      <c r="J7" s="20" t="inlineStr">
        <is>
          <t>L'adresse IP du visiteur est exposée à un tiers dès le premier rendu, avant tout choix. Aucun cookie n'est déposé par flagcdn d'après le code, donc le risque juridique est moindre qu'un traceur — mais l'appel n'est mentionné nulle part dans la politique, qui se présente comme la liste exhaustive des traceurs.</t>
        </is>
      </c>
      <c r="K7" s="20" t="inlineStr">
        <is>
          <t>Auto-héberger les SVG de drapeaux (le projet le fait déjà pour les polices), ou à défaut documenter cet appel dans la politique de confidentialité.</t>
        </is>
      </c>
      <c r="L7" s="19" t="inlineStr">
        <is>
          <t>S</t>
        </is>
      </c>
      <c r="M7" s="19" t="n">
        <v>6</v>
      </c>
      <c r="N7" s="20" t="inlineStr">
        <is>
          <t>&lt;link rel="preconnect" href="https://flagcdn.com"&gt; ; frontend/js/shared/card.js:32 : src="https://flagcdn.com/${alpha[aircraft.country_code]}.svg"</t>
        </is>
      </c>
    </row>
    <row r="8" ht="62" customHeight="1">
      <c r="A8" s="18" t="inlineStr">
        <is>
          <t>RGPD-04</t>
        </is>
      </c>
      <c r="B8" s="19" t="inlineStr">
        <is>
          <t>9. Conformité RGPD</t>
        </is>
      </c>
      <c r="C8" s="20" t="inlineStr">
        <is>
          <t>L'inventaire des cookies ne mentionne ni hCaptcha ni Sentry</t>
        </is>
      </c>
      <c r="D8" s="23" t="inlineStr">
        <is>
          <t>Mineur</t>
        </is>
      </c>
      <c r="E8" s="26" t="inlineStr">
        <is>
          <t>Corrigé</t>
        </is>
      </c>
      <c r="F8" s="20" t="inlineStr">
        <is>
          <t>frontend/locales/{fr,en}.json — ligne hCaptcha (Intuition Machines, Inc.) ajoutée au tableau d'inventaire des cookies, dans les deux langues.</t>
        </is>
      </c>
      <c r="G8" s="20" t="inlineStr">
        <is>
          <t>frontend/locales/fr.json</t>
        </is>
      </c>
      <c r="H8" s="19" t="inlineStr">
        <is>
          <t>1218 (legal.pc_sec6_body)</t>
        </is>
      </c>
      <c r="I8" s="20" t="inlineStr">
        <is>
          <t>Le texte introductif promet la « liste exhaustive des cookies et traceurs déposés ou susceptibles de l'être ». Les deux sous-traitants sont nommés ailleurs (pc_sec5_body) mais absents du tableau technique.</t>
        </is>
      </c>
      <c r="J8" s="20" t="inlineStr">
        <is>
          <t>Incohérence interne entre la promesse d'exhaustivité et le contenu du tableau.</t>
        </is>
      </c>
      <c r="K8" s="20" t="inlineStr">
        <is>
          <t>Ajouter une ligne hCaptcha, ou préciser que le tableau ne couvre que les cookies internes.</t>
        </is>
      </c>
      <c r="L8" s="19" t="inlineStr">
        <is>
          <t>S</t>
        </is>
      </c>
      <c r="M8" s="19" t="n">
        <v>19</v>
      </c>
      <c r="N8" s="20" t="inlineStr">
        <is>
          <t>Le tableau liste refreshToken, voldhistoire_cookie_consent, vol-histoire-lang, vh_hangar_view, vh_compare_ids, vh-onboarding-done, _ga, _ga_&lt;ID&gt;, _gid — hCaptcha (chargé sans condition par frontend/js/captcha.js:37) et Sentry n'y figurent pas.</t>
        </is>
      </c>
    </row>
    <row r="9" ht="62" customHeight="1">
      <c r="A9" s="18" t="inlineStr">
        <is>
          <t>RGPD-05</t>
        </is>
      </c>
      <c r="B9" s="19" t="inlineStr">
        <is>
          <t>9. Conformité RGPD</t>
        </is>
      </c>
      <c r="C9" s="20" t="inlineStr">
        <is>
          <t>Le formulaire d'inscription n'a pas de mention RGPD de proximité</t>
        </is>
      </c>
      <c r="D9" s="23" t="inlineStr">
        <is>
          <t>Mineur</t>
        </is>
      </c>
      <c r="E9" s="26" t="inlineStr">
        <is>
          <t>Corrigé</t>
        </is>
      </c>
      <c r="F9" s="20" t="inlineStr">
        <is>
          <t>frontend/login.html — mention de finalité, durée et lien vers la politique sous le formulaire d'inscription, sur le modèle de celle du formulaire de contact. Clé login.register_rgpd_notice ajoutée en fr et en.</t>
        </is>
      </c>
      <c r="G9" s="20" t="inlineStr">
        <is>
          <t>frontend/login.html</t>
        </is>
      </c>
      <c r="H9" s="19" t="inlineStr">
        <is>
          <t>— (formulaire d'inscription)</t>
        </is>
      </c>
      <c r="I9" s="20" t="inlineStr">
        <is>
          <t>Le formulaire qui collecte les données les plus durables (email, mot de passe, nom) est le moins informatif ; celui qui collecte une donnée éphémère (contact) est correctement doté.</t>
        </is>
      </c>
      <c r="J9" s="20" t="inlineStr">
        <is>
          <t>Information de l'utilisateur incomplète au moment de la collecte.</t>
        </is>
      </c>
      <c r="K9" s="20" t="inlineStr">
        <is>
          <t>Ajouter une mention courte (finalité, durée, lien vers la politique) sous le bouton d'inscription, sur le modèle du formulaire de contact.</t>
        </is>
      </c>
      <c r="L9" s="19" t="inlineStr">
        <is>
          <t>S</t>
        </is>
      </c>
      <c r="M9" s="19" t="n">
        <v>20</v>
      </c>
      <c r="N9" s="20" t="inlineStr">
        <is>
          <t>Aucune occurrence de « rgpd » ou de mention de finalité près des champs ; contact.html:204 en a une (contact.form_rgpd_notice).</t>
        </is>
      </c>
    </row>
  </sheetData>
  <autoFilter ref="A4:N9"/>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10. Qualité du code</t>
        </is>
      </c>
    </row>
    <row r="2">
      <c r="A2" s="2" t="inlineStr">
        <is>
          <t>2 constat(s) · score 98 → 100/100 · 1 corrigé(s), 1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QUAL-02</t>
        </is>
      </c>
      <c r="B5" s="19" t="inlineStr">
        <is>
          <t>10. Qualité du code</t>
        </is>
      </c>
      <c r="C5" s="20" t="inlineStr">
        <is>
          <t>Convention de guillemets non tenue dans quelques fichiers</t>
        </is>
      </c>
      <c r="D5" s="24" t="inlineStr">
        <is>
          <t>Info</t>
        </is>
      </c>
      <c r="E5" s="22" t="inlineStr">
        <is>
          <t>Ouvert</t>
        </is>
      </c>
      <c r="F5" s="20" t="inlineStr">
        <is>
          <t>—</t>
        </is>
      </c>
      <c r="G5" s="20" t="inlineStr">
        <is>
          <t>frontend/js/login.js</t>
        </is>
      </c>
      <c r="H5" s="19" t="inlineStr">
        <is>
          <t>1 et suivantes</t>
        </is>
      </c>
      <c r="I5" s="20" t="inlineStr">
        <is>
          <t>La règle du projet est le guillemet simple en JS. ESLint ne l'applique pas (aucune règle quotes configurée).</t>
        </is>
      </c>
      <c r="J5" s="20" t="inlineStr">
        <is>
          <t>Cosmétique.</t>
        </is>
      </c>
      <c r="K5" s="20" t="inlineStr">
        <is>
          <t>Ajouter la règle quotes à ESLint et laisser --fix faire la passe.</t>
        </is>
      </c>
      <c r="L5" s="19" t="inlineStr">
        <is>
          <t>S</t>
        </is>
      </c>
      <c r="M5" s="19" t="n">
        <v>35</v>
      </c>
      <c r="N5" s="20" t="inlineStr">
        <is>
          <t>≈24 occurrences de guillemets doubles dans login.js ; addEventListener("DOMContentLoaded", …) en doubles dans 5 fichiers (favorites.js:3, login.js:1, script.js:2, settings.js:1, timeline.js:6) ; 12 occurrences dans backend/validators.js:168-193 et app.js:55,147.</t>
        </is>
      </c>
    </row>
    <row r="6" ht="62" customHeight="1">
      <c r="A6" s="18" t="inlineStr">
        <is>
          <t>QUAL-01</t>
        </is>
      </c>
      <c r="B6" s="19" t="inlineStr">
        <is>
          <t>10. Qualité du code</t>
        </is>
      </c>
      <c r="C6" s="20" t="inlineStr">
        <is>
          <t>Le seuil de couverture de utils.js est en échec permanent</t>
        </is>
      </c>
      <c r="D6" s="23" t="inlineStr">
        <is>
          <t>Mineur</t>
        </is>
      </c>
      <c r="E6" s="26" t="inlineStr">
        <is>
          <t>Corrigé</t>
        </is>
      </c>
      <c r="F6" s="20" t="inlineStr">
        <is>
          <t>frontend/js/utils.js — trapFocus exporté, il ne l'était pas, d'où son absence de tests ; 16 tests ajoutés couvrant safeSetHTML, trapFocus et setNumberPopIn. Couverture de utils.js : 52,43 % → 91,46 % des instructions.</t>
        </is>
      </c>
      <c r="G6" s="20" t="inlineStr">
        <is>
          <t>frontend/jest.config.json</t>
        </is>
      </c>
      <c r="H6" s="19" t="inlineStr">
        <is>
          <t>20-25</t>
        </is>
      </c>
      <c r="I6" s="20" t="inlineStr">
        <is>
          <t>npm test (sans --coverage) passe, donc l'échec ne bloque personne au quotidien — et c'est le problème.</t>
        </is>
      </c>
      <c r="J6" s="20" t="inlineStr">
        <is>
          <t>Le garde-fou est en échec constant : il ne peut plus signaler une régression réelle.</t>
        </is>
      </c>
      <c r="K6" s="20" t="inlineStr">
        <is>
          <t>Compléter les tests de utils.js, ou abaisser le seuil à la valeur réellement tenue et l'assumer.</t>
        </is>
      </c>
      <c r="L6" s="19" t="inlineStr">
        <is>
          <t>M</t>
        </is>
      </c>
      <c r="M6" s="19" t="n">
        <v>23</v>
      </c>
      <c r="N6" s="20" t="inlineStr">
        <is>
          <t>npx jest --coverage : « Coverage for statements (52.43%) does not meet ./js/utils.js threshold (55%) », idem branches 46,84 &lt; 55, fonctions 46,15 &lt; 50, lignes 53,62 &lt; 55. Vérifié sur main avant toute modification de cette session : l'écart préexiste.</t>
        </is>
      </c>
    </row>
  </sheetData>
  <autoFilter ref="A4:N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N5"/>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11. Mobile &amp; PWA</t>
        </is>
      </c>
    </row>
    <row r="2">
      <c r="A2" s="2" t="inlineStr">
        <is>
          <t>1 constat(s) · score 98 → 100/100 · 1 corrigé(s), 0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PWA-01</t>
        </is>
      </c>
      <c r="B5" s="19" t="inlineStr">
        <is>
          <t>11. Mobile &amp; PWA</t>
        </is>
      </c>
      <c r="C5" s="20" t="inlineStr">
        <is>
          <t>Le manifeste PWA annonce 107 fiches au lieu de 383</t>
        </is>
      </c>
      <c r="D5" s="23" t="inlineStr">
        <is>
          <t>Mineur</t>
        </is>
      </c>
      <c r="E5" s="26" t="inlineStr">
        <is>
          <t>Corrigé</t>
        </is>
      </c>
      <c r="F5" s="20" t="inlineStr">
        <is>
          <t>frontend/manifest.webmanifest:5 — le chiffre est retiré de la description plutôt que corrigé, pour qu'il ne périme plus à chaque lot de fiches.</t>
        </is>
      </c>
      <c r="G5" s="20" t="inlineStr">
        <is>
          <t>frontend/manifest.webmanifest</t>
        </is>
      </c>
      <c r="H5" s="19" t="inlineStr">
        <is>
          <t>5</t>
        </is>
      </c>
      <c r="I5" s="20" t="inlineStr">
        <is>
          <t>Le catalogue compte 383 fiches depuis la v4.7.0. Cette description s'affiche au moment de l'installation de l'application.</t>
        </is>
      </c>
      <c r="J5" s="20" t="inlineStr">
        <is>
          <t>Information fausse à l'instant précis où l'utilisateur décide d'installer.</t>
        </is>
      </c>
      <c r="K5" s="20" t="inlineStr">
        <is>
          <t>Corriger la description, et envisager de retirer le chiffre pour éviter la péremption.</t>
        </is>
      </c>
      <c r="L5" s="19" t="inlineStr">
        <is>
          <t>S</t>
        </is>
      </c>
      <c r="M5" s="19" t="n">
        <v>17</v>
      </c>
      <c r="N5" s="20" t="inlineStr">
        <is>
          <t>"description": "Encyclopédie de l'aviation militaire : 107 fiches détaillées, chronologie cinématographique, hangar interactif."</t>
        </is>
      </c>
    </row>
  </sheetData>
  <autoFilter ref="A4:N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N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10" customWidth="1" min="1" max="1"/>
    <col width="26" customWidth="1" min="2" max="2"/>
    <col width="44" customWidth="1" min="3" max="3"/>
    <col width="11" customWidth="1" min="4" max="4"/>
    <col width="11" customWidth="1" min="5" max="5"/>
    <col width="62" customWidth="1" min="6" max="6"/>
    <col width="32" customWidth="1" min="7" max="7"/>
    <col width="13" customWidth="1" min="8" max="8"/>
    <col width="58" customWidth="1" min="9" max="9"/>
    <col width="54" customWidth="1" min="10" max="10"/>
    <col width="54" customWidth="1" min="11" max="11"/>
    <col width="8" customWidth="1" min="12" max="12"/>
    <col width="9" customWidth="1" min="13" max="13"/>
    <col width="62" customWidth="1" min="14" max="14"/>
  </cols>
  <sheetData>
    <row r="1">
      <c r="A1" s="1" t="inlineStr">
        <is>
          <t>12. Contenu &amp; éditorial</t>
        </is>
      </c>
    </row>
    <row r="2">
      <c r="A2" s="2" t="inlineStr">
        <is>
          <t>2 constat(s) · score 98 → 100/100 · 2 corrigé(s), 0 ouvert(s)</t>
        </is>
      </c>
    </row>
    <row r="4" ht="26" customHeight="1">
      <c r="A4" s="7" t="inlineStr">
        <is>
          <t>ID</t>
        </is>
      </c>
      <c r="B4" s="7" t="inlineStr">
        <is>
          <t>Domaine</t>
        </is>
      </c>
      <c r="C4" s="7" t="inlineStr">
        <is>
          <t>Titre</t>
        </is>
      </c>
      <c r="D4" s="7" t="inlineStr">
        <is>
          <t>Sévérité</t>
        </is>
      </c>
      <c r="E4" s="7" t="inlineStr">
        <is>
          <t>Statut</t>
        </is>
      </c>
      <c r="F4" s="7" t="inlineStr">
        <is>
          <t>Correctif appliqué</t>
        </is>
      </c>
      <c r="G4" s="7" t="inlineStr">
        <is>
          <t>Fichier</t>
        </is>
      </c>
      <c r="H4" s="7" t="inlineStr">
        <is>
          <t>Ligne</t>
        </is>
      </c>
      <c r="I4" s="7" t="inlineStr">
        <is>
          <t>Description</t>
        </is>
      </c>
      <c r="J4" s="7" t="inlineStr">
        <is>
          <t>Impact</t>
        </is>
      </c>
      <c r="K4" s="7" t="inlineStr">
        <is>
          <t>Recommandation</t>
        </is>
      </c>
      <c r="L4" s="7" t="inlineStr">
        <is>
          <t>Effort</t>
        </is>
      </c>
      <c r="M4" s="7" t="inlineStr">
        <is>
          <t>Priorité</t>
        </is>
      </c>
      <c r="N4" s="7" t="inlineStr">
        <is>
          <t>Preuve</t>
        </is>
      </c>
    </row>
    <row r="5" ht="62" customHeight="1">
      <c r="A5" s="18" t="inlineStr">
        <is>
          <t>CONT-01</t>
        </is>
      </c>
      <c r="B5" s="19" t="inlineStr">
        <is>
          <t>12. Contenu &amp; éditorial</t>
        </is>
      </c>
      <c r="C5" s="20" t="inlineStr">
        <is>
          <t>Espaces insécables appliqués dans les pages légales mais pas ailleurs</t>
        </is>
      </c>
      <c r="D5" s="23" t="inlineStr">
        <is>
          <t>Mineur</t>
        </is>
      </c>
      <c r="E5" s="26" t="inlineStr">
        <is>
          <t>Corrigé</t>
        </is>
      </c>
      <c r="F5" s="20" t="inlineStr">
        <is>
          <t>frontend/locales/fr.json — 146 espaces insécables (U+00A0) posés avant : ; ! et ?. Le caractère et non l'entité &amp;nbsp; : i18n.js affecte textContent pour les clés simples, où une entité s'afficherait littéralement. L'anglais est inchangé, la parité des 1225 clés est préservée.</t>
        </is>
      </c>
      <c r="G5" s="20" t="inlineStr">
        <is>
          <t>frontend/locales/fr.json</t>
        </is>
      </c>
      <c r="H5" s="19" t="inlineStr">
        <is>
          <t>228 et 78 autres occurrences</t>
        </is>
      </c>
      <c r="I5" s="20" t="inlineStr">
        <is>
          <t>Exigence typographique française appliquée à une partie du contenu seulement.</t>
        </is>
      </c>
      <c r="J5" s="20" t="inlineStr">
        <is>
          <t>Rupture de ligne possible avant une ponctuation double en fin de ligne. Rendu correct dans la grande majorité des cas.</t>
        </is>
      </c>
      <c r="K5" s="20" t="inlineStr">
        <is>
          <t>Uniformiser dans un sens ou dans l'autre, idéalement l'espace insécable partout.</t>
        </is>
      </c>
      <c r="L5" s="19" t="inlineStr">
        <is>
          <t>M</t>
        </is>
      </c>
      <c r="M5" s="19" t="n">
        <v>24</v>
      </c>
      <c r="N5" s="20" t="inlineStr">
        <is>
          <t>79 occurrences d'espace normal avant « : », « ; », « ! » ou « ? » dans les textes courants (accueil, chronologie, connexion, contact, favoris), alors que les pages légales emploient correctement &amp;nbsp; (ex. politique-confidentialite.html:339 : « n° 2020-091&amp;nbsp;: »).</t>
        </is>
      </c>
    </row>
    <row r="6" ht="62" customHeight="1">
      <c r="A6" s="18" t="inlineStr">
        <is>
          <t>CONT-02</t>
        </is>
      </c>
      <c r="B6" s="19" t="inlineStr">
        <is>
          <t>12. Contenu &amp; éditorial</t>
        </is>
      </c>
      <c r="C6" s="20" t="inlineStr">
        <is>
          <t>Documentation d'architecture décalée des versions installées</t>
        </is>
      </c>
      <c r="D6" s="24" t="inlineStr">
        <is>
          <t>Info</t>
        </is>
      </c>
      <c r="E6" s="26" t="inlineStr">
        <is>
          <t>Corrigé</t>
        </is>
      </c>
      <c r="F6" s="20" t="inlineStr">
        <is>
          <t>CLAUDE.md et README.md — Express 4.21 → 5.2, pg 8.13 → 8.20, Nodemailer 10 mentionné, avec un renvoi aux différences de routage d'Express 5.</t>
        </is>
      </c>
      <c r="G6" s="20" t="inlineStr">
        <is>
          <t>CLAUDE.md</t>
        </is>
      </c>
      <c r="H6" s="19" t="inlineStr">
        <is>
          <t>8</t>
        </is>
      </c>
      <c r="I6" s="20" t="inlineStr">
        <is>
          <t>La documentation de référence du projet annonce une version majeure de retard sur son framework serveur.</t>
        </is>
      </c>
      <c r="J6" s="20" t="inlineStr">
        <is>
          <t>Risque de contresens pour un nouvel arrivant ou lors d'une future migration.</t>
        </is>
      </c>
      <c r="K6" s="20" t="inlineStr">
        <is>
          <t>Mettre à jour la section Stack de CLAUDE.md et du README.</t>
        </is>
      </c>
      <c r="L6" s="19" t="inlineStr">
        <is>
          <t>S</t>
        </is>
      </c>
      <c r="M6" s="19" t="n">
        <v>36</v>
      </c>
      <c r="N6" s="20" t="inlineStr">
        <is>
          <t>« Express 4.21 […] PostgreSQL via pg 8.13 » — npm ls : express@5.2.1, pg@8.20.0. Express 5 change le routage et la gestion des erreurs asynchrones.</t>
        </is>
      </c>
    </row>
  </sheetData>
  <autoFilter ref="A4:N6"/>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46" customWidth="1" min="3" max="3"/>
    <col width="11" customWidth="1" min="4" max="4"/>
    <col width="34" customWidth="1" min="5" max="5"/>
    <col width="66" customWidth="1" min="6" max="6"/>
    <col width="8" customWidth="1" min="7" max="7"/>
  </cols>
  <sheetData>
    <row r="1">
      <c r="A1" s="1" t="inlineStr">
        <is>
          <t>Constats encore ouverts</t>
        </is>
      </c>
    </row>
    <row r="2">
      <c r="A2" s="2" t="inlineStr">
        <is>
          <t>9 constats · le reste du rapport est traité</t>
        </is>
      </c>
    </row>
    <row r="4" ht="26" customHeight="1">
      <c r="A4" s="7" t="inlineStr">
        <is>
          <t>ID</t>
        </is>
      </c>
      <c r="B4" s="7" t="inlineStr">
        <is>
          <t>Domaine</t>
        </is>
      </c>
      <c r="C4" s="7" t="inlineStr">
        <is>
          <t>Titre</t>
        </is>
      </c>
      <c r="D4" s="7" t="inlineStr">
        <is>
          <t>Sévérité</t>
        </is>
      </c>
      <c r="E4" s="7" t="inlineStr">
        <is>
          <t>Fichier</t>
        </is>
      </c>
      <c r="F4" s="7" t="inlineStr">
        <is>
          <t>Recommandation</t>
        </is>
      </c>
      <c r="G4" s="7" t="inlineStr">
        <is>
          <t>Effort</t>
        </is>
      </c>
    </row>
    <row r="5" ht="42" customHeight="1">
      <c r="A5" s="19" t="inlineStr">
        <is>
          <t>PERF-08</t>
        </is>
      </c>
      <c r="B5" s="19" t="inlineStr">
        <is>
          <t>5. Performance</t>
        </is>
      </c>
      <c r="C5" s="20" t="inlineStr">
        <is>
          <t>Le LCP reste à 4,2 s, désormais bloqué par le rendu du titre</t>
        </is>
      </c>
      <c r="D5" s="21" t="inlineStr">
        <is>
          <t>Majeur</t>
        </is>
      </c>
      <c r="E5" s="20" t="inlineStr">
        <is>
          <t>frontend/index.html</t>
        </is>
      </c>
      <c r="F5" s="20" t="inlineStr">
        <is>
          <t>Investiguer séparément. Deux pistes à mesurer : l'animation .gradient-text de style-hero-split.css, dont le fill-mode both et le délai de 0,7 s laissent le texte transparent au premier rendu ; et le remplacement de texte opéré par i18n.js après chargement des locales, qui redéclenche une candidature LCP.</t>
        </is>
      </c>
      <c r="G5" s="19" t="inlineStr">
        <is>
          <t>M</t>
        </is>
      </c>
    </row>
    <row r="6" ht="42" customHeight="1">
      <c r="A6" s="19" t="inlineStr">
        <is>
          <t>SEC-04</t>
        </is>
      </c>
      <c r="B6" s="19" t="inlineStr">
        <is>
          <t>7. Sécurité</t>
        </is>
      </c>
      <c r="C6" s="20" t="inlineStr">
        <is>
          <t>jwt.verify sans restriction explicite d'algorithme</t>
        </is>
      </c>
      <c r="D6" s="23" t="inlineStr">
        <is>
          <t>Mineur</t>
        </is>
      </c>
      <c r="E6" s="20" t="inlineStr">
        <is>
          <t>backend/middleware/auth.js</t>
        </is>
      </c>
      <c r="F6" s="20" t="inlineStr">
        <is>
          <t>Ajouter { algorithms: ['HS256'] } aux trois appels.</t>
        </is>
      </c>
      <c r="G6" s="19" t="inlineStr">
        <is>
          <t>S</t>
        </is>
      </c>
    </row>
    <row r="7" ht="42" customHeight="1">
      <c r="A7" s="19" t="inlineStr">
        <is>
          <t>SEC-06</t>
        </is>
      </c>
      <c r="B7" s="19" t="inlineStr">
        <is>
          <t>7. Sécurité</t>
        </is>
      </c>
      <c r="C7" s="20" t="inlineStr">
        <is>
          <t>firstname/lastname du formulaire de contact non validés</t>
        </is>
      </c>
      <c r="D7" s="24" t="inlineStr">
        <is>
          <t>Info</t>
        </is>
      </c>
      <c r="E7" s="20" t="inlineStr">
        <is>
          <t>backend/routes/contact.js</t>
        </is>
      </c>
      <c r="F7" s="20" t="inlineStr">
        <is>
          <t>Ajouter une validation de longueur (100 caractères).</t>
        </is>
      </c>
      <c r="G7" s="19" t="inlineStr">
        <is>
          <t>S</t>
        </is>
      </c>
    </row>
    <row r="8" ht="42" customHeight="1">
      <c r="A8" s="19" t="inlineStr">
        <is>
          <t>PERF-06</t>
        </is>
      </c>
      <c r="B8" s="19" t="inlineStr">
        <is>
          <t>5. Performance</t>
        </is>
      </c>
      <c r="C8" s="20" t="inlineStr">
        <is>
          <t>430 ms de CSS bloquant le rendu sur l'accueil</t>
        </is>
      </c>
      <c r="D8" s="24" t="inlineStr">
        <is>
          <t>Info</t>
        </is>
      </c>
      <c r="E8" s="20" t="inlineStr">
        <is>
          <t>frontend/index.html</t>
        </is>
      </c>
      <c r="F8" s="20" t="inlineStr">
        <is>
          <t>Optionnel : inliner le CSS critique du hero et charger le reste en asynchrone.</t>
        </is>
      </c>
      <c r="G8" s="19" t="inlineStr">
        <is>
          <t>M</t>
        </is>
      </c>
    </row>
    <row r="9" ht="42" customHeight="1">
      <c r="A9" s="19" t="inlineStr">
        <is>
          <t>PERF-07</t>
        </is>
      </c>
      <c r="B9" s="19" t="inlineStr">
        <is>
          <t>5. Performance</t>
        </is>
      </c>
      <c r="C9" s="20" t="inlineStr">
        <is>
          <t>119 Mo d'images dans le dépôt, en triple exemplaire</t>
        </is>
      </c>
      <c r="D9" s="24" t="inlineStr">
        <is>
          <t>Info</t>
        </is>
      </c>
      <c r="E9" s="20" t="inlineStr">
        <is>
          <t>frontend/assets/airplanes/</t>
        </is>
      </c>
      <c r="F9" s="20" t="inlineStr">
        <is>
          <t>Aucune action requise. À surveiller si le catalogue double : envisager un stockage d'objets plutôt que le dépôt Git.</t>
        </is>
      </c>
      <c r="G9" s="19" t="inlineStr">
        <is>
          <t>L</t>
        </is>
      </c>
    </row>
    <row r="10" ht="42" customHeight="1">
      <c r="A10" s="19" t="inlineStr">
        <is>
          <t>SEO-03</t>
        </is>
      </c>
      <c r="B10" s="19" t="inlineStr">
        <is>
          <t>8. SEO technique</t>
        </is>
      </c>
      <c r="C10" s="20" t="inlineStr">
        <is>
          <t>Meta description de la chronologie au-dessus de la limite d'affichage</t>
        </is>
      </c>
      <c r="D10" s="24" t="inlineStr">
        <is>
          <t>Info</t>
        </is>
      </c>
      <c r="E10" s="20" t="inlineStr">
        <is>
          <t>frontend/timeline.html</t>
        </is>
      </c>
      <c r="F10" s="20" t="inlineStr">
        <is>
          <t>Raccourcir de quelques mots.</t>
        </is>
      </c>
      <c r="G10" s="19" t="inlineStr">
        <is>
          <t>S</t>
        </is>
      </c>
    </row>
    <row r="11" ht="42" customHeight="1">
      <c r="A11" s="19" t="inlineStr">
        <is>
          <t>CSS-05</t>
        </is>
      </c>
      <c r="B11" s="19" t="inlineStr">
        <is>
          <t>3. CSS &amp; design system</t>
        </is>
      </c>
      <c r="C11" s="20" t="inlineStr">
        <is>
          <t>Approche desktop-first, contrairement au mobile-first documenté</t>
        </is>
      </c>
      <c r="D11" s="24" t="inlineStr">
        <is>
          <t>Info</t>
        </is>
      </c>
      <c r="E11" s="20" t="inlineStr">
        <is>
          <t>frontend/css/</t>
        </is>
      </c>
      <c r="F11" s="20" t="inlineStr">
        <is>
          <t>Aligner la documentation sur la réalité, ou converger vers l'échelle de tokens lors des prochaines retouches.</t>
        </is>
      </c>
      <c r="G11" s="19" t="inlineStr">
        <is>
          <t>M</t>
        </is>
      </c>
    </row>
    <row r="12" ht="42" customHeight="1">
      <c r="A12" s="19" t="inlineStr">
        <is>
          <t>ARCH-03</t>
        </is>
      </c>
      <c r="B12" s="19" t="inlineStr">
        <is>
          <t>1. Architecture &amp; structure</t>
        </is>
      </c>
      <c r="C12" s="20" t="inlineStr">
        <is>
          <t>Trois feuilles de style dépassent le seuil de 800 lignes du projet</t>
        </is>
      </c>
      <c r="D12" s="24" t="inlineStr">
        <is>
          <t>Info</t>
        </is>
      </c>
      <c r="E12" s="20" t="inlineStr">
        <is>
          <t>frontend/css/shared-base.css</t>
        </is>
      </c>
      <c r="F12" s="20" t="inlineStr">
        <is>
          <t>Découper shared-base.css par domaine au prochain passage sur le CSS.</t>
        </is>
      </c>
      <c r="G12" s="19" t="inlineStr">
        <is>
          <t>M</t>
        </is>
      </c>
    </row>
    <row r="13" ht="42" customHeight="1">
      <c r="A13" s="19" t="inlineStr">
        <is>
          <t>QUAL-02</t>
        </is>
      </c>
      <c r="B13" s="19" t="inlineStr">
        <is>
          <t>10. Qualité du code</t>
        </is>
      </c>
      <c r="C13" s="20" t="inlineStr">
        <is>
          <t>Convention de guillemets non tenue dans quelques fichiers</t>
        </is>
      </c>
      <c r="D13" s="24" t="inlineStr">
        <is>
          <t>Info</t>
        </is>
      </c>
      <c r="E13" s="20" t="inlineStr">
        <is>
          <t>frontend/js/login.js</t>
        </is>
      </c>
      <c r="F13" s="20" t="inlineStr">
        <is>
          <t>Ajouter la règle quotes à ESLint et laisser --fix faire la passe.</t>
        </is>
      </c>
      <c r="G13" s="19" t="inlineStr">
        <is>
          <t>S</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30" customWidth="1" min="1" max="1"/>
    <col width="130" customWidth="1" min="2" max="2"/>
  </cols>
  <sheetData>
    <row r="1">
      <c r="A1" s="1" t="inlineStr">
        <is>
          <t>Points conformes vérifiés</t>
        </is>
      </c>
    </row>
    <row r="2">
      <c r="A2" s="2" t="inlineStr">
        <is>
          <t>Contrôlés lors de l'audit initial et trouvés corrects — un audit qui ne liste que les défauts ment par omission</t>
        </is>
      </c>
    </row>
    <row r="4" ht="26" customHeight="1">
      <c r="A4" s="7" t="inlineStr">
        <is>
          <t>Domaine</t>
        </is>
      </c>
      <c r="B4" s="7" t="inlineStr">
        <is>
          <t>Constat vérifié</t>
        </is>
      </c>
    </row>
    <row r="5" ht="30" customHeight="1">
      <c r="A5" s="12" t="inlineStr">
        <is>
          <t>7. Sécurité</t>
        </is>
      </c>
      <c r="B5" s="28" t="inlineStr">
        <is>
          <t>Requêtes SQL systématiquement paramétrées — aucune concaténation de valeur utilisateur trouvée (routes/auth.js:43,111 ; routes/airplanes.js:505-543 ; routes/users.js:37-46).</t>
        </is>
      </c>
    </row>
    <row r="6" ht="30" customHeight="1">
      <c r="A6" s="12" t="inlineStr">
        <is>
          <t>7. Sécurité</t>
        </is>
      </c>
      <c r="B6" s="28" t="inlineStr">
        <is>
          <t>Mots de passe hachés bcrypt coût 12 (routes/auth.js:47), comparaison contre un hash factice si l'utilisateur n'existe pas (auth.js:118-120) pour éviter l'énumération par temps de réponse.</t>
        </is>
      </c>
    </row>
    <row r="7" ht="30" customHeight="1">
      <c r="A7" s="12" t="inlineStr">
        <is>
          <t>7. Sécurité</t>
        </is>
      </c>
      <c r="B7" s="28" t="inlineStr">
        <is>
          <t>Verrouillage de compte après 10 échecs pendant 15 min (routes/auth.js:97-98,135-151), réponse identique dans tous les cas d'échec.</t>
        </is>
      </c>
    </row>
    <row r="8" ht="30" customHeight="1">
      <c r="A8" s="12" t="inlineStr">
        <is>
          <t>7. Sécurité</t>
        </is>
      </c>
      <c r="B8" s="28" t="inlineStr">
        <is>
          <t>Jeton d'accès de 15 min + refresh token en base, rotation atomique en transaction et détection de rejeu révoquant toutes les sessions (middleware/auth.js:89-106 ; routes/auth.js:211-233).</t>
        </is>
      </c>
    </row>
    <row r="9" ht="30" customHeight="1">
      <c r="A9" s="12" t="inlineStr">
        <is>
          <t>7. Sécurité</t>
        </is>
      </c>
      <c r="B9" s="28" t="inlineStr">
        <is>
          <t>Cookie de refresh httpOnly + secure en production + sameSite strict + path limité à /api (middleware/auth.js:143-149) ; le jeton d'accès n'est jamais en localStorage (js/auth.js:5,19).</t>
        </is>
      </c>
    </row>
    <row r="10" ht="30" customHeight="1">
      <c r="A10" s="12" t="inlineStr">
        <is>
          <t>7. Sécurité</t>
        </is>
      </c>
      <c r="B10" s="28" t="inlineStr">
        <is>
          <t>Contrôle de propriété sur les ressources utilisateur (isOwnerOrAdmin, middleware/auth.js:192-203) et favoris toujours filtrés par req.user.id — aucun IDOR trouvé.</t>
        </is>
      </c>
    </row>
    <row r="11" ht="30" customHeight="1">
      <c r="A11" s="12" t="inlineStr">
        <is>
          <t>7. Sécurité</t>
        </is>
      </c>
      <c r="B11" s="28" t="inlineStr">
        <is>
          <t>En-têtes de sécurité complets, vérifiés sur la réponse HTTP réelle : HSTS preload, X-Frame-Options DENY, X-Content-Type-Options, Referrer-Policy, Permissions-Policy, COOP, CORP, X-Powered-By retiré.</t>
        </is>
      </c>
    </row>
    <row r="12" ht="30" customHeight="1">
      <c r="A12" s="12" t="inlineStr">
        <is>
          <t>7. Sécurité</t>
        </is>
      </c>
      <c r="B12" s="28" t="inlineStr">
        <is>
          <t>CSP sans 'unsafe-inline' : nonce sur les styles, style-src-attr 'none', object-src 'none', frame-ancestors 'none', base-uri et form-action 'self'.</t>
        </is>
      </c>
    </row>
    <row r="13" ht="30" customHeight="1">
      <c r="A13" s="12" t="inlineStr">
        <is>
          <t>7. Sécurité</t>
        </is>
      </c>
      <c r="B13" s="28" t="inlineStr">
        <is>
          <t>Limitation de débit différenciée par route sensible avec Redis et repli mémoire ; hCaptcha sur inscription, mot de passe oublié et contact ; corps JSON plafonné à 100 Ko.</t>
        </is>
      </c>
    </row>
    <row r="14" ht="30" customHeight="1">
      <c r="A14" s="12" t="inlineStr">
        <is>
          <t>7. Sécurité</t>
        </is>
      </c>
      <c r="B14" s="28" t="inlineStr">
        <is>
          <t>Aucun secret en dur : JWT_SECRET et REFRESH_SECRET obligatoires et vérifiés ≥ 32 caractères au démarrage (server.js:5-18) ; *.env gitignoré, seul .env.example versionné.</t>
        </is>
      </c>
    </row>
    <row r="15" ht="30" customHeight="1">
      <c r="A15" s="12" t="inlineStr">
        <is>
          <t>6. Accessibilité</t>
        </is>
      </c>
      <c r="B15" s="28" t="inlineStr">
        <is>
          <t>axe-core 4.13.0 (WCAG 2.0/2.1/2.2 A + AA) sur 11 pages : une seule violation, le contraste de settings (A11Y-02). Accueil, hangar, chronologie, connexion, contact, favoris, pages légales et 404 sortent à zéro violation.</t>
        </is>
      </c>
    </row>
    <row r="16" ht="30" customHeight="1">
      <c r="A16" s="12" t="inlineStr">
        <is>
          <t>6. Accessibilité</t>
        </is>
      </c>
      <c r="B16" s="28" t="inlineStr">
        <is>
          <t>Lighthouse accessibilité : 100/100 sur l'accueil.</t>
        </is>
      </c>
    </row>
    <row r="17" ht="30" customHeight="1">
      <c r="A17" s="12" t="inlineStr">
        <is>
          <t>6. Accessibilité</t>
        </is>
      </c>
      <c r="B17" s="28" t="inlineStr">
        <is>
          <t>Tous les &lt;img&gt; du HTML source ont un alt ; aucun bouton ou lien à icône seule sans aria-label.</t>
        </is>
      </c>
    </row>
    <row r="18" ht="30" customHeight="1">
      <c r="A18" s="12" t="inlineStr">
        <is>
          <t>6. Accessibilité</t>
        </is>
      </c>
      <c r="B18" s="28" t="inlineStr">
        <is>
          <t>Formulaires : chaque champ a un &lt;label for&gt; correspondant ou un label englobant, sur contact, login, settings, forgot-password et reset-password.</t>
        </is>
      </c>
    </row>
    <row r="19" ht="30" customHeight="1">
      <c r="A19" s="12" t="inlineStr">
        <is>
          <t>6. Accessibilité</t>
        </is>
      </c>
      <c r="B19" s="28" t="inlineStr">
        <is>
          <t>Onglets ARIA complets (tablist/tab/tabpanel, aria-selected, tabindex roving, inert sur le panneau inactif) sur login.html:159-228 et settings.html:97-230 ; modales avec role=dialog + aria-modal + aria-labelledby ; navigation clavier flèches et Échap sur les menus déroulants (js/nav.js:149-185).</t>
        </is>
      </c>
    </row>
    <row r="20" ht="30" customHeight="1">
      <c r="A20" s="12" t="inlineStr">
        <is>
          <t>6. Accessibilité</t>
        </is>
      </c>
      <c r="B20" s="28" t="inlineStr">
        <is>
          <t>Lien d'évitement et &lt;main id="main-content"&gt; présents et corrects sur 10 des 12 pages applicatives complètes.</t>
        </is>
      </c>
    </row>
    <row r="21" ht="30" customHeight="1">
      <c r="A21" s="12" t="inlineStr">
        <is>
          <t>9. Conformité RGPD</t>
        </is>
      </c>
      <c r="B21" s="28" t="inlineStr">
        <is>
          <t>Google Tag Manager correctement conditionné : Consent Mode v2 en « denied » par défaut (gtm.js:15-24), le script distant n'est chargé que par window.__loadGTM() appelé depuis applyConsent() si analytics === true (cookies.js:332-334).</t>
        </is>
      </c>
    </row>
    <row r="22" ht="30" customHeight="1">
      <c r="A22" s="12" t="inlineStr">
        <is>
          <t>9. Conformité RGPD</t>
        </is>
      </c>
      <c r="B22" s="28" t="inlineStr">
        <is>
          <t>Refuser est aussi simple qu'accepter : même classe de bouton, un clic, sans passer par la modale (cookie-consent.html:18-25) ; choix granulaire par finalité ; retour sur le consentement depuis le pied de page de toutes les pages et depuis /settings.</t>
        </is>
      </c>
    </row>
    <row r="23" ht="30" customHeight="1">
      <c r="A23" s="12" t="inlineStr">
        <is>
          <t>9. Conformité RGPD</t>
        </is>
      </c>
      <c r="B23" s="28" t="inlineStr">
        <is>
          <t>Pages légales substantielles : éditeur nommé, hébergeur OVHcloud avec adresse, base légale par finalité, durées, droits, voie de recours CNIL, sous-traitants nommés avec pays et garanties (Clauses Contractuelles Types).</t>
        </is>
      </c>
    </row>
    <row r="24" ht="30" customHeight="1">
      <c r="A24" s="12" t="inlineStr">
        <is>
          <t>9. Conformité RGPD</t>
        </is>
      </c>
      <c r="B24" s="28" t="inlineStr">
        <is>
          <t>Mention RGPD de proximité correcte sous le formulaire de contact (contact.html:204).</t>
        </is>
      </c>
    </row>
    <row r="25" ht="30" customHeight="1">
      <c r="A25" s="12" t="inlineStr">
        <is>
          <t>8. SEO technique</t>
        </is>
      </c>
      <c r="B25" s="28" t="inlineStr">
        <is>
          <t>Lighthouse SEO : 100/100. Les 18 pages ont un &lt;title&gt; unique et non vide ; 14 ont description + canonical + Open Graph ; les 4 pages transactionnelles portent noindex, nofollow, comme login, settings, favoris et 404.</t>
        </is>
      </c>
    </row>
    <row r="26" ht="30" customHeight="1">
      <c r="A26" s="12" t="inlineStr">
        <is>
          <t>8. SEO technique</t>
        </is>
      </c>
      <c r="B26" s="28" t="inlineStr">
        <is>
          <t>Rendu serveur dédié aux fiches (details-ssr.js) : title, description, canonical, OG, Twitter et JSON-LD hydratés par appareil, avec redirection 301 des anciennes URL ?id= vers l'URL canonique en slug.</t>
        </is>
      </c>
    </row>
    <row r="27" ht="30" customHeight="1">
      <c r="A27" s="12" t="inlineStr">
        <is>
          <t>8. SEO technique</t>
        </is>
      </c>
      <c r="B27" s="28" t="inlineStr">
        <is>
          <t>Sitemap dynamique couvrant les pages publiques et les 383 fiches, avec cache Redis 24 h et repli statique si la base est indisponible ; robots.txt cohérent et déclarant le sitemap.</t>
        </is>
      </c>
    </row>
    <row r="28" ht="30" customHeight="1">
      <c r="A28" s="12" t="inlineStr">
        <is>
          <t>2. HTML &amp; sémantique</t>
        </is>
      </c>
      <c r="B28" s="28" t="inlineStr">
        <is>
          <t>html-validate : 0 erreur sur les 18 pages (configuration html-validate:recommended).</t>
        </is>
      </c>
    </row>
    <row r="29" ht="30" customHeight="1">
      <c r="A29" s="12" t="inlineStr">
        <is>
          <t>2. HTML &amp; sémantique</t>
        </is>
      </c>
      <c r="B29" s="28" t="inlineStr">
        <is>
          <t>Exactement un &lt;h1&gt; par page dans le HTML source ; lang, charset et viewport présents partout, sans user-scalable=no.</t>
        </is>
      </c>
    </row>
    <row r="30" ht="30" customHeight="1">
      <c r="A30" s="12" t="inlineStr">
        <is>
          <t>10. Qualité du code</t>
        </is>
      </c>
      <c r="B30" s="28" t="inlineStr">
        <is>
          <t>ESLint : 0 problème sur backend/, frontend/js/ et scripts/. Aucun TODO, FIXME ou HACK dans tout le dépôt. Aucun console.log résiduel hors du logger et d'un script CLI de migration.</t>
        </is>
      </c>
    </row>
    <row r="31" ht="30" customHeight="1">
      <c r="A31" s="12" t="inlineStr">
        <is>
          <t>10. Qualité du code</t>
        </is>
      </c>
      <c r="B31" s="28" t="inlineStr">
        <is>
          <t>551 tests backend, 146 tests frontend, 121 scénarios E2E Playwright — tous verts au moment de l'audit, hors un échec E2E dû à un schéma de base locale obsolète.</t>
        </is>
      </c>
    </row>
    <row r="32" ht="30" customHeight="1">
      <c r="A32" s="12" t="inlineStr">
        <is>
          <t>10. Qualité du code</t>
        </is>
      </c>
      <c r="B32" s="28" t="inlineStr">
        <is>
          <t>Intégration continue GitHub Actions avec PostgreSQL 16 en service, secrets injectés par l'environnement du job.</t>
        </is>
      </c>
    </row>
    <row r="33" ht="30" customHeight="1">
      <c r="A33" s="12" t="inlineStr">
        <is>
          <t>4. JavaScript</t>
        </is>
      </c>
      <c r="B33" s="28" t="inlineStr">
        <is>
          <t>Aucun eval, new Function, document.write, insertAdjacentHTML ni outerHTML dans les sources. Les 113 usages d'innerHTML passent par escapeHtml ou DOMPurify (utils.js:33-53).</t>
        </is>
      </c>
    </row>
    <row r="34" ht="30" customHeight="1">
      <c r="A34" s="12" t="inlineStr">
        <is>
          <t>11. Mobile &amp; PWA</t>
        </is>
      </c>
      <c r="B34" s="28" t="inlineStr">
        <is>
          <t>Manifeste complet (id, scope, display, orientation, thème, catégories, icônes 192 et 512 présentes et maskable) ; service worker versionné avec purge des anciens caches, network-first sur l'API et stale-while-revalidate sur les assets.</t>
        </is>
      </c>
    </row>
    <row r="35" ht="30" customHeight="1">
      <c r="A35" s="12" t="inlineStr">
        <is>
          <t>5. Performance</t>
        </is>
      </c>
      <c r="B35" s="28" t="inlineStr">
        <is>
          <t>CLS 0,005 et TBT 90 ms mesurés par Lighthouse ; polices auto-hébergées en woff2 avec font-display: swap et preload des deux plus critiques ; aucun contenu mixte http:// dans les sources.</t>
        </is>
      </c>
    </row>
    <row r="36" ht="30" customHeight="1">
      <c r="A36" s="12" t="inlineStr">
        <is>
          <t>12. Contenu &amp; éditorial</t>
        </is>
      </c>
      <c r="B36" s="28" t="inlineStr">
        <is>
          <t>Parité totale des 1222 clés de traduction FR/EN, aucune chaîne longue laissée en français côté anglais. Copyright 2026 à jour sur toutes les pages. Aucune faute d'orthographe relevée dans l'échantillon lu.</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11"/>
  <sheetViews>
    <sheetView workbookViewId="0">
      <pane ySplit="4" topLeftCell="A5" activePane="bottomLeft" state="frozen"/>
      <selection pane="bottomLeft" activeCell="A1" sqref="A1"/>
    </sheetView>
  </sheetViews>
  <sheetFormatPr baseColWidth="8" defaultRowHeight="15"/>
  <cols>
    <col width="46" customWidth="1" min="1" max="1"/>
    <col width="120" customWidth="1" min="2" max="2"/>
  </cols>
  <sheetData>
    <row r="1">
      <c r="A1" s="1" t="inlineStr">
        <is>
          <t>Limites de cet audit</t>
        </is>
      </c>
    </row>
    <row r="2">
      <c r="A2" s="2" t="inlineStr">
        <is>
          <t>Ce qui n'a pas pu être vérifié, et pourquoi</t>
        </is>
      </c>
    </row>
    <row r="4" ht="26" customHeight="1">
      <c r="A4" s="7" t="inlineStr">
        <is>
          <t>Sujet</t>
        </is>
      </c>
      <c r="B4" s="7" t="inlineStr">
        <is>
          <t>Raison</t>
        </is>
      </c>
    </row>
    <row r="5" ht="34" customHeight="1">
      <c r="A5" s="9" t="inlineStr">
        <is>
          <t>Comportement réel de Sentry en production</t>
        </is>
      </c>
      <c r="B5" s="28" t="inlineStr">
        <is>
          <t>Aucun DSN n'est injecté dans le HTML servi en local : impossible de confirmer par l'observation que Sentry se charge malgré un refus (RGPD-01). Le défaut est établi par lecture du code, pas par exécution.</t>
        </is>
      </c>
    </row>
    <row r="6" ht="34" customHeight="1">
      <c r="A6" s="9" t="inlineStr">
        <is>
          <t>Contournement effectif de la limitation de débit via ip-address</t>
        </is>
      </c>
      <c r="B6" s="28" t="inlineStr">
        <is>
          <t>La vulnérabilité est réelle dans la dépendance, mais aucun test n'a été construit pour prouver qu'une IP forgée contourne la clé de limitation dans ce projet (JS-01).</t>
        </is>
      </c>
    </row>
    <row r="7" ht="34" customHeight="1">
      <c r="A7" s="9" t="inlineStr">
        <is>
          <t>Contraste réel de l'indicateur de focus</t>
        </is>
      </c>
      <c r="B7" s="28" t="inlineStr">
        <is>
          <t>Le ratio de 1,9:1 (A11Y-03) est calculé par composition alpha sur la couleur de fond documentée, pas mesuré à l'écran. axe ne teste pas le contraste des indicateurs de focus.</t>
        </is>
      </c>
    </row>
    <row r="8" ht="34" customHeight="1">
      <c r="A8" s="9" t="inlineStr">
        <is>
          <t>Lighthouse sur les autres pages</t>
        </is>
      </c>
      <c r="B8" s="28" t="inlineStr">
        <is>
          <t>Une seule exécution Lighthouse, sur l'accueil. Les fiches, le hangar et la chronologie n'ont pas été mesurés : leurs scores peuvent différer.</t>
        </is>
      </c>
    </row>
    <row r="9" ht="34" customHeight="1">
      <c r="A9" s="9" t="inlineStr">
        <is>
          <t>Exception d'espacement des cibles tactiles</t>
        </is>
      </c>
      <c r="B9" s="28" t="inlineStr">
        <is>
          <t>Pour A11Y-12, l'espacement entre cibles voisines n'a pas été mesuré : la conformité formelle de ces liens n'est donc ni établie ni infirmée.</t>
        </is>
      </c>
    </row>
    <row r="10" ht="34" customHeight="1">
      <c r="A10" s="9" t="inlineStr">
        <is>
          <t>Audit sur base de production</t>
        </is>
      </c>
      <c r="B10" s="28" t="inlineStr">
        <is>
          <t>Toutes les mesures viennent d'une base locale partielle (111 fiches contre 383 en production). Les temps de réponse SQL et les volumes de pagination peuvent différer.</t>
        </is>
      </c>
    </row>
    <row r="11" ht="34" customHeight="1">
      <c r="A11" s="9" t="inlineStr">
        <is>
          <t>Analyse de duplication automatisée (jscpd)</t>
        </is>
      </c>
      <c r="B11" s="28" t="inlineStr">
        <is>
          <t>Non exécutée : la duplication a été recherchée manuellement par grep sur les motifs signalés.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2026-09-08T01:31:58Z</dcterms:created>
  <dcterms:modified xsi:type="dcterms:W3CDTF">2026-09-08T01:31:58Z</dcterms:modified>
</cp:coreProperties>
</file>